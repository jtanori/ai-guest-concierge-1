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02 · Backlog" sheetId="2" state="visible" r:id="rId2"/>
    <sheet xmlns:r="http://schemas.openxmlformats.org/officeDocument/2006/relationships" name="03 · Gates" sheetId="3" state="visible" r:id="rId3"/>
    <sheet xmlns:r="http://schemas.openxmlformats.org/officeDocument/2006/relationships" name="04 · Metrics" sheetId="4" state="visible" r:id="rId4"/>
    <sheet xmlns:r="http://schemas.openxmlformats.org/officeDocument/2006/relationships" name="05 · Risks" sheetId="5" state="visible" r:id="rId5"/>
    <sheet xmlns:r="http://schemas.openxmlformats.org/officeDocument/2006/relationships" name="06 · Roadmap" sheetId="6" state="visible" r:id="rId6"/>
    <sheet xmlns:r="http://schemas.openxmlformats.org/officeDocument/2006/relationships" name="07 · Content" sheetId="7" state="visible" r:id="rId7"/>
    <sheet xmlns:r="http://schemas.openxmlformats.org/officeDocument/2006/relationships" name="08 · Decisions" sheetId="8" state="visible" r:id="rId8"/>
    <sheet xmlns:r="http://schemas.openxmlformats.org/officeDocument/2006/relationships" name="09 · Budget" sheetId="9" state="visible" r:id="rId9"/>
    <sheet xmlns:r="http://schemas.openxmlformats.org/officeDocument/2006/relationships" name="10 · Non-goals" sheetId="10" state="visible" r:id="rId10"/>
  </sheets>
  <definedNames>
    <definedName name="_xlnm._FilterDatabase" localSheetId="1" hidden="1">'02 · Backlog'!$A$1:$I$71</definedName>
    <definedName name="_xlnm._FilterDatabase" localSheetId="2" hidden="1">'03 · Gates'!$A$1:$G$8</definedName>
    <definedName name="_xlnm._FilterDatabase" localSheetId="3" hidden="1">'04 · Metrics'!$A$1:$F$16</definedName>
    <definedName name="_xlnm._FilterDatabase" localSheetId="4" hidden="1">'05 · Risks'!$A$1:$G$13</definedName>
    <definedName name="_xlnm._FilterDatabase" localSheetId="6" hidden="1">'07 · Content'!$A$1:$E$11</definedName>
    <definedName name="_xlnm._FilterDatabase" localSheetId="7" hidden="1">'08 · Decisions'!$A$1:$E$15</definedName>
    <definedName name="_xlnm._FilterDatabase" localSheetId="9" hidden="1">'10 · Non-goals'!$A$1:$D$13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3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name val="Calibri"/>
      <i val="1"/>
      <color rgb="00808080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  <font>
      <name val="Calibri"/>
      <b val="1"/>
      <color rgb="001F3864"/>
      <sz val="12"/>
    </font>
    <font>
      <name val="Calibri"/>
      <i val="1"/>
      <color rgb="006E5B9A"/>
      <sz val="10"/>
    </font>
    <font>
      <name val="Calibri"/>
      <b val="1"/>
      <color rgb="00FFFFFF"/>
      <sz val="9"/>
    </font>
    <font>
      <name val="Calibri"/>
      <b val="1"/>
      <color rgb="001F3864"/>
      <sz val="14"/>
    </font>
    <font>
      <name val="Calibri"/>
      <color rgb="00808080"/>
      <sz val="9"/>
    </font>
    <font>
      <name val="Calibri"/>
      <b val="1"/>
      <color rgb="00FFFFFF"/>
      <sz val="11"/>
    </font>
    <font>
      <name val="Calibri"/>
      <i val="1"/>
      <sz val="10"/>
    </font>
  </fonts>
  <fills count="20">
    <fill>
      <patternFill/>
    </fill>
    <fill>
      <patternFill patternType="gray125"/>
    </fill>
    <fill>
      <patternFill patternType="solid">
        <fgColor rgb="00EAF1F8"/>
      </patternFill>
    </fill>
    <fill>
      <patternFill patternType="solid">
        <fgColor rgb="001F3864"/>
      </patternFill>
    </fill>
    <fill>
      <patternFill patternType="solid">
        <fgColor rgb="00F5F7FA"/>
      </patternFill>
    </fill>
    <fill>
      <patternFill patternType="solid">
        <fgColor rgb="00FFF2CC"/>
      </patternFill>
    </fill>
    <fill>
      <patternFill patternType="solid">
        <fgColor rgb="007A2E2E"/>
      </patternFill>
    </fill>
    <fill>
      <patternFill patternType="solid">
        <fgColor rgb="002E6E6A"/>
      </patternFill>
    </fill>
    <fill>
      <patternFill patternType="solid">
        <fgColor rgb="00F8D7DA"/>
      </patternFill>
    </fill>
    <fill>
      <patternFill patternType="solid">
        <fgColor rgb="00E2EFDA"/>
      </patternFill>
    </fill>
    <fill>
      <patternFill patternType="solid">
        <fgColor rgb="008EA9DB"/>
      </patternFill>
    </fill>
    <fill>
      <patternFill patternType="solid">
        <fgColor rgb="009BC2E6"/>
      </patternFill>
    </fill>
    <fill>
      <patternFill patternType="solid">
        <fgColor rgb="00A9D08E"/>
      </patternFill>
    </fill>
    <fill>
      <patternFill patternType="solid">
        <fgColor rgb="00FFD966"/>
      </patternFill>
    </fill>
    <fill>
      <patternFill patternType="solid">
        <fgColor rgb="00F4B183"/>
      </patternFill>
    </fill>
    <fill>
      <patternFill patternType="solid">
        <fgColor rgb="00B4A7D6"/>
      </patternFill>
    </fill>
    <fill>
      <patternFill patternType="solid">
        <fgColor rgb="00C9C9C9"/>
      </patternFill>
    </fill>
    <fill>
      <patternFill patternType="solid">
        <fgColor rgb="00D9D2E9"/>
      </patternFill>
    </fill>
    <fill>
      <patternFill patternType="solid">
        <fgColor rgb="00C00000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0" borderId="0" pivotButton="0" quotePrefix="0" xfId="0"/>
    <xf numFmtId="0" fontId="3" fillId="5" borderId="0" pivotButton="0" quotePrefix="0" xfId="0"/>
    <xf numFmtId="0" fontId="5" fillId="6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top" wrapText="1"/>
    </xf>
    <xf numFmtId="0" fontId="5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6" fillId="0" borderId="0" applyAlignment="1" pivotButton="0" quotePrefix="0" xfId="0">
      <alignment vertical="center"/>
    </xf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0" fillId="14" borderId="1" pivotButton="0" quotePrefix="0" xfId="0"/>
    <xf numFmtId="0" fontId="0" fillId="15" borderId="1" pivotButton="0" quotePrefix="0" xfId="0"/>
    <xf numFmtId="0" fontId="0" fillId="16" borderId="1" pivotButton="0" quotePrefix="0" xfId="0"/>
    <xf numFmtId="0" fontId="0" fillId="9" borderId="1" pivotButton="0" quotePrefix="0" xfId="0"/>
    <xf numFmtId="0" fontId="7" fillId="0" borderId="0" applyAlignment="1" pivotButton="0" quotePrefix="0" xfId="0">
      <alignment vertical="center"/>
    </xf>
    <xf numFmtId="0" fontId="0" fillId="17" borderId="1" pivotButton="0" quotePrefix="0" xfId="0"/>
    <xf numFmtId="0" fontId="8" fillId="18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7" borderId="0" applyAlignment="1" pivotButton="0" quotePrefix="0" xfId="0">
      <alignment vertical="center"/>
    </xf>
    <xf numFmtId="0" fontId="5" fillId="3" borderId="1" pivotButton="0" quotePrefix="0" xfId="0"/>
    <xf numFmtId="2" fontId="4" fillId="5" borderId="1" pivotButton="0" quotePrefix="0" xfId="0"/>
    <xf numFmtId="2" fontId="4" fillId="0" borderId="1" pivotButton="0" quotePrefix="0" xfId="0"/>
    <xf numFmtId="2" fontId="3" fillId="19" borderId="1" pivotButton="0" quotePrefix="0" xfId="0"/>
    <xf numFmtId="0" fontId="12" fillId="0" borderId="0" pivotButton="0" quotePrefix="0" xfId="0"/>
    <xf numFmtId="2" fontId="12" fillId="0" borderId="0" pivotButton="0" quotePrefix="0" xfId="0"/>
    <xf numFmtId="2" fontId="3" fillId="9" borderId="1" pivotButton="0" quotePrefix="0" xfId="0"/>
    <xf numFmtId="0" fontId="4" fillId="5" borderId="1" pivotButton="0" quotePrefix="0" xfId="0"/>
    <xf numFmtId="0" fontId="10" fillId="0" borderId="0" applyAlignment="1" pivotButton="0" quotePrefix="0" xfId="0">
      <alignment vertical="top" wrapText="1"/>
    </xf>
    <xf numFmtId="164" fontId="4" fillId="0" borderId="1" pivotButton="0" quotePrefix="0" xfId="0"/>
    <xf numFmtId="164" fontId="3" fillId="1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tabColor rgb="001F3864"/>
    <ns0:outlinePr summaryBelow="1" summaryRight="1"/>
    <ns0:pageSetUpPr/>
  </ns0:sheetPr>
  <ns0:dimension ref="B2:C23"/>
  <ns0:sheetViews>
    <ns0:sheetView workbookViewId="0">
      <ns0:selection activeCell="A1" sqref="A1"/>
    </ns0:sheetView>
  </ns0:sheetViews>
  <ns0:sheetFormatPr baseColWidth="8" defaultRowHeight="15"/>
  <ns0:cols>
    <ns0:col width="3" customWidth="1" min="1" max="1"/>
    <ns0:col width="34" customWidth="1" min="2" max="2"/>
    <ns0:col width="100" customWidth="1" min="3" max="3"/>
  </ns0:cols>
  <ns0:sheetData>
    <ns0:row r="2">
      <ns0:c r="B2" s="1" t="inlineStr">
        <ns0:is>
          <ns0:t>AI Guest Concierge — MVP Development Plan Workbook</ns0:t>
        </ns0:is>
      </ns0:c>
    </ns0:row>
    <ns0:row r="3">
      <ns0:c r="B3" s="2" t="inlineStr">
        <ns0:is>
          <ns0:t>Companion to 01-development-plan.md  ·  Plan of record: pilot live Week 14, readout Week 17  ·  Prepared 21 Oct 2026</ns0:t>
        </ns0:is>
      </ns0:c>
    </ns0:row>
    <ns0:row r="5" ht="20" customHeight="1">
      <ns0:c r="B5" s="3" t="inlineStr">
        <ns0:is>
          <ns0:t>Plan at a glance</ns0:t>
        </ns0:is>
      </ns0:c>
      <ns0:c r="C5" s="4" t="inlineStr"/>
    </ns0:row>
    <ns0:row r="6" ht="30" customHeight="1">
      <ns0:c r="B6" s="5" t="inlineStr">
        <ns0:is>
          <ns0:t>Verdict</ns0:t>
        </ns0:is>
      </ns0:c>
      <ns0:c r="C6" s="6" t="inlineStr">
        <ns0:is>
          <ns0:t>Strategy is green-lit. Re-sequence the delivery. Add an AI evaluation harness and an engineering/ops layer — both are load-bearing. The proposal's 4–6 week schedule is the one claim that does not survive costing.</ns0:t>
        </ns0:is>
      </ns0:c>
    </ns0:row>
    <ns0:row r="7" ht="30" customHeight="1">
      <ns0:c r="B7" s="5" t="inlineStr">
        <ns0:is>
          <ns0:t>Scope of build</ns0:t>
        </ns0:is>
      </ns0:c>
      <ns0:c r="C7" s="6" t="inlineStr">
        <ns0:is>
          <ns0:t>14 weeks to a pilot live on web chat with one experienced full-stack developer (68 dev-days measured from the backlog, plus a 2-week buffer inside the 14). Full MVP-1 including WhatsApp: ~18 weeks solo, or ~10 weeks with a second developer from Week 3 scoped to UI and content ops.</ns0:t>
        </ns0:is>
      </ns0:c>
    </ns0:row>
    <ns0:row r="8" ht="30" customHeight="1">
      <ns0:c r="B8" s="5" t="inlineStr">
        <ns0:is>
          <ns0:t>Launch surface</ns0:t>
        </ns0:is>
      </ns0:c>
      <ns0:c r="C8" s="6" t="inlineStr">
        <ns0:is>
          <ns0:t>Web chat + QR, live in Week 14. WhatsApp approvals start Week 0 but the adapter is 8 dev-days of work that lands after the pilot (W12–13) with one developer. Approvals are parallel; work is not.</ns0:t>
        </ns0:is>
      </ns0:c>
    </ns0:row>
    <ns0:row r="9" ht="30" customHeight="1">
      <ns0:c r="B9" s="5" t="inlineStr">
        <ns0:is>
          <ns0:t>Biggest corrections</ns0:t>
        </ns0:is>
      </ns0:c>
      <ns0:c r="C9" s="6" t="inlineStr">
        <ns0:is>
          <ns0:t>1) Eval harness in Phase 2, not later. 2) Hours/prices as structured facts, not prose. 3) 'I don't know' as a designed state. 4) Cut automated PDF/web extraction from MVP. 5) Re-baseline WhatsApp cost — service messages became billable on 1 Oct 2026.</ns0:t>
        </ns0:is>
      </ns0:c>
    </ns0:row>
    <ns0:row r="10" ht="30" customHeight="1">
      <ns0:c r="B10" s="5" t="inlineStr">
        <ns0:is>
          <ns0:t>The critical path</ns0:t>
        </ns0:is>
      </ns0:c>
      <ns0:c r="C10" s="6" t="inlineStr">
        <ns0:is>
          <ns0:t>Not code. It is getting approved content out of a hotel. Recruit the pilot property before Sprint 1 with a named content owner and 4–6 hours in weeks 1–2.</ns0:t>
        </ns0:is>
      </ns0:c>
    </ns0:row>
    <ns0:row r="11" ht="20" customHeight="1">
      <ns0:c r="B11" s="5" t="inlineStr"/>
      <ns0:c r="C11" s="6" t="inlineStr"/>
    </ns0:row>
    <ns0:row r="12" ht="20" customHeight="1">
      <ns0:c r="B12" s="3" t="inlineStr">
        <ns0:is>
          <ns0:t>How to use this workbook</ns0:t>
        </ns0:is>
      </ns0:c>
      <ns0:c r="C12" s="4" t="inlineStr"/>
    </ns0:row>
    <ns0:row r="13" ht="30" customHeight="1">
      <ns0:c r="B13" s="5" t="inlineStr">
        <ns0:is>
          <ns0:t>02 · Backlog</ns0:t>
        </ns0:is>
      </ns0:c>
      <ns0:c r="C13" s="6" t="inlineStr">
        <ns0:is>
          <ns0:t>Superseded as the working board by 07-master-backlog.xlsx v2 (80 items, IDs &lt;sprint&gt;-&lt;nn&gt;). This sheet is kept for gates, risks, metrics, content playbook, ADR log and build cost.</ns0:t>
        </ns0:is>
      </ns0:c>
    </ns0:row>
    <ns0:row r="14" ht="30" customHeight="1">
      <ns0:c r="B14" s="5" t="inlineStr">
        <ns0:is>
          <ns0:t>03 · Gates</ns0:t>
        </ns0:is>
      </ns0:c>
      <ns0:c r="C14" s="6" t="inlineStr">
        <ns0:is>
          <ns0:t>Seven go/no-go gates with objective criteria, dates, owners and failure actions. Do not pass a gate on vibes.</ns0:t>
        </ns0:is>
      </ns0:c>
    </ns0:row>
    <ns0:row r="15" ht="30" customHeight="1">
      <ns0:c r="B15" s="5" t="inlineStr">
        <ns0:is>
          <ns0:t>04 · Metrics</ns0:t>
        </ns0:is>
      </ns0:c>
      <ns0:c r="C15" s="6" t="inlineStr">
        <ns0:is>
          <ns0:t>Metric dictionary + pilot targets + the numeric go/no-go thresholds. Instrument from day one.</ns0:t>
        </ns0:is>
      </ns0:c>
    </ns0:row>
    <ns0:row r="16" ht="30" customHeight="1">
      <ns0:c r="B16" s="5" t="inlineStr">
        <ns0:is>
          <ns0:t>05 · Risks</ns0:t>
        </ns0:is>
      </ns0:c>
      <ns0:c r="C16" s="6" t="inlineStr">
        <ns0:is>
          <ns0:t>Twelve risks with likelihood, impact, mitigation, early-warning signal and owner.</ns0:t>
        </ns0:is>
      </ns0:c>
    </ns0:row>
    <ns0:row r="17" ht="30" customHeight="1">
      <ns0:c r="B17" s="5" t="inlineStr">
        <ns0:is>
          <ns0:t>06 · Roadmap</ns0:t>
        </ns0:is>
      </ns0:c>
      <ns0:c r="C17" s="6" t="inlineStr">
        <ns0:is>
          <ns0:t>19-week Gantt from kickoff to pilot readout (pilot live W14, readout W17), with the external approval track and WhatsApp build shown separately.</ns0:t>
        </ns0:is>
      </ns0:c>
    </ns0:row>
    <ns0:row r="18" ht="30" customHeight="1">
      <ns0:c r="B18" s="5" t="inlineStr">
        <ns0:is>
          <ns0:t>07 · Content</ns0:t>
        </ns0:is>
      </ns0:c>
      <ns0:c r="C18" s="6" t="inlineStr">
        <ns0:is>
          <ns0:t>The content-readiness playbook and the article template. This is the work that determines containment.</ns0:t>
        </ns0:is>
      </ns0:c>
    </ns0:row>
    <ns0:row r="19" ht="30" customHeight="1">
      <ns0:c r="B19" s="5" t="inlineStr">
        <ns0:is>
          <ns0:t>08 · Decisions</ns0:t>
        </ns0:is>
      </ns0:c>
      <ns0:c r="C19" s="6" t="inlineStr">
        <ns0:is>
          <ns0:t>Fourteen ADRs to lock in Week 0. Reversibility noted for each.</ns0:t>
        </ns0:is>
      </ns0:c>
    </ns0:row>
    <ns0:row r="20" ht="30" customHeight="1">
      <ns0:c r="B20" s="5" t="inlineStr">
        <ns0:is>
          <ns0:t>09 · Budget</ns0:t>
        </ns0:is>
      </ns0:c>
      <ns0:c r="C20" s="6" t="inlineStr">
        <ns0:is>
          <ns0:t>Build effort and one-time cost. Edit the yellow cells; the totals follow. Per-property unit economics now live in 03-financial-model.xlsx.</ns0:t>
        </ns0:is>
      </ns0:c>
    </ns0:row>
    <ns0:row r="21" ht="30" customHeight="1">
      <ns0:c r="B21" s="5" t="inlineStr">
        <ns0:is>
          <ns0:t>10 · Non-goals</ns0:t>
        </ns0:is>
      </ns0:c>
      <ns0:c r="C21" s="6" t="inlineStr">
        <ns0:is>
          <ns0:t>The written 'no' list. Put it in the sales deck.</ns0:t>
        </ns0:is>
      </ns0:c>
    </ns0:row>
    <ns0:row r="22" ht="20" customHeight="1">
      <ns0:c r="B22" s="5" t="inlineStr"/>
      <ns0:c r="C22" s="6" t="inlineStr"/>
    </ns0:row>
    <ns0:row r="23" ht="30" customHeight="1">
      <ns0:c r="B23" s="5" t="inlineStr">
        <ns0:is>
          <ns0:t>Guiding rule</ns0:t>
        </ns0:is>
      </ns0:c>
      <ns0:c r="C23" s="6" t="inlineStr">
        <ns0:is>
          <ns0:t>A concierge that says 'I don't know, let me get a colleague' is a good concierge. One that invents the pool hours is a liability.</ns0:t>
        </ns0:is>
      </ns0:c>
    </ns0:row>
  </ns0:sheetData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tabColor rgb="002E6E6A"/>
    <ns0:outlinePr summaryBelow="1" summaryRight="1"/>
    <ns0:pageSetUpPr/>
  </ns0:sheetPr>
  <ns0:dimension ref="A1:I73"/>
  <ns0:sheetViews>
    <ns0:sheetView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8" customWidth="1" min="1" max="1"/>
    <ns0:col width="20" customWidth="1" min="2" max="2"/>
    <ns0:col width="34" customWidth="1" min="3" max="3"/>
    <ns0:col width="62" customWidth="1" min="4" max="4"/>
    <ns0:col width="12" customWidth="1" min="5" max="5"/>
    <ns0:col width="10" customWidth="1" min="6" max="6"/>
    <ns0:col width="8" customWidth="1" min="7" max="7"/>
    <ns0:col width="52" customWidth="1" min="8" max="8"/>
    <ns0:col width="14" customWidth="1" min="9" max="9"/>
  </ns0:cols>
  <ns0:sheetData>
    <ns0:row r="1" ht="30" customHeight="1">
      <ns0:c r="A1" s="7" t="inlineStr">
        <ns0:is>
          <ns0:t>ID</ns0:t>
        </ns0:is>
      </ns0:c>
      <ns0:c r="B1" s="7" t="inlineStr">
        <ns0:is>
          <ns0:t>Epic</ns0:t>
        </ns0:is>
      </ns0:c>
      <ns0:c r="C1" s="7" t="inlineStr">
        <ns0:is>
          <ns0:t>Work item</ns0:t>
        </ns0:is>
      </ns0:c>
      <ns0:c r="D1" s="7" t="inlineStr">
        <ns0:is>
          <ns0:t>Description / notes</ns0:t>
        </ns0:is>
      </ns0:c>
      <ns0:c r="E1" s="7" t="inlineStr">
        <ns0:is>
          <ns0:t>Estimate (dev-days)</ns0:t>
        </ns0:is>
      </ns0:c>
      <ns0:c r="F1" s="7" t="inlineStr">
        <ns0:is>
          <ns0:t>Priority</ns0:t>
        </ns0:is>
      </ns0:c>
      <ns0:c r="G1" s="7" t="inlineStr">
        <ns0:is>
          <ns0:t>Sprint</ns0:t>
        </ns0:is>
      </ns0:c>
      <ns0:c r="H1" s="7" t="inlineStr">
        <ns0:is>
          <ns0:t>Definition of done</ns0:t>
        </ns0:is>
      </ns0:c>
      <ns0:c r="I1" s="7" t="inlineStr">
        <ns0:is>
          <ns0:t>Status</ns0:t>
        </ns0:is>
      </ns0:c>
    </ns0:row>
    <ns0:row r="2" ht="44" customHeight="1">
      <ns0:c r="A2" s="8" t="inlineStr">
        <ns0:is>
          <ns0:t>S0-01</ns0:t>
        </ns0:is>
      </ns0:c>
      <ns0:c r="B2" s="8" t="inlineStr">
        <ns0:is>
          <ns0:t>Foundation</ns0:t>
        </ns0:is>
      </ns0:c>
      <ns0:c r="C2" s="8" t="inlineStr">
        <ns0:is>
          <ns0:t>Lock architecture decisions D1–D14</ns0:t>
        </ns0:is>
      </ns0:c>
      <ns0:c r="D2" s="8" t="inlineStr">
        <ns0:is>
          <ns0:t>ADR doc, one page each: decision, context, alternatives, reversibility. See '08 · Decisions'.</ns0:t>
        </ns0:is>
      </ns0:c>
      <ns0:c r="E2" s="8" t="n">
        <ns0:v>1</ns0:v>
      </ns0:c>
      <ns0:c r="F2" s="8" t="inlineStr">
        <ns0:is>
          <ns0:t>P0</ns0:t>
        </ns0:is>
      </ns0:c>
      <ns0:c r="G2" s="8" t="inlineStr">
        <ns0:is>
          <ns0:t>S0</ns0:t>
        </ns0:is>
      </ns0:c>
      <ns0:c r="H2" s="8" t="inlineStr">
        <ns0:is>
          <ns0:t>ADRs merged to repo; D1–D14 have an owner and a date</ns0:t>
        </ns0:is>
      </ns0:c>
      <ns0:c r="I2" s="8" t="inlineStr">
        <ns0:is>
          <ns0:t>Not started</ns0:t>
        </ns0:is>
      </ns0:c>
    </ns0:row>
    <ns0:row r="3" ht="44" customHeight="1">
      <ns0:c r="A3" s="9" t="inlineStr">
        <ns0:is>
          <ns0:t>S0-02</ns0:t>
        </ns0:is>
      </ns0:c>
      <ns0:c r="B3" s="9" t="inlineStr">
        <ns0:is>
          <ns0:t>Foundation</ns0:t>
        </ns0:is>
      </ns0:c>
      <ns0:c r="C3" s="9" t="inlineStr">
        <ns0:is>
          <ns0:t>Repo + CI + 3 environments</ns0:t>
        </ns0:is>
      </ns0:c>
      <ns0:c r="D3" s="9" t="inlineStr">
        <ns0:is>
          <ns0:t>local / staging / prod. Preview deploy per PR. No shared DB between staging and prod.</ns0:t>
        </ns0:is>
      </ns0:c>
      <ns0:c r="E3" s="9" t="n">
        <ns0:v>1</ns0:v>
      </ns0:c>
      <ns0:c r="F3" s="9" t="inlineStr">
        <ns0:is>
          <ns0:t>P0</ns0:t>
        </ns0:is>
      </ns0:c>
      <ns0:c r="G3" s="9" t="inlineStr">
        <ns0:is>
          <ns0:t>S0</ns0:t>
        </ns0:is>
      </ns0:c>
      <ns0:c r="H3" s="9" t="inlineStr">
        <ns0:is>
          <ns0:t>A PR produces a preview URL and runs lint, typecheck, tests</ns0:t>
        </ns0:is>
      </ns0:c>
      <ns0:c r="I3" s="9" t="inlineStr">
        <ns0:is>
          <ns0:t>Not started</ns0:t>
        </ns0:is>
      </ns0:c>
    </ns0:row>
    <ns0:row r="4" ht="44" customHeight="1">
      <ns0:c r="A4" s="8" t="inlineStr">
        <ns0:is>
          <ns0:t>S0-03</ns0:t>
        </ns0:is>
      </ns0:c>
      <ns0:c r="B4" s="8" t="inlineStr">
        <ns0:is>
          <ns0:t>Foundation</ns0:t>
        </ns0:is>
      </ns0:c>
      <ns0:c r="C4" s="8" t="inlineStr">
        <ns0:is>
          <ns0:t>Error tracking + structured logging</ns0:t>
        </ns0:is>
      </ns0:c>
      <ns0:c r="D4" s="8" t="inlineStr">
        <ns0:is>
          <ns0:t>org_id / property_id / conversation_id on every log line. PII redaction enabled from commit 1.</ns0:t>
        </ns0:is>
      </ns0:c>
      <ns0:c r="E4" s="8" t="n">
        <ns0:v>0.5</ns0:v>
      </ns0:c>
      <ns0:c r="F4" s="8" t="inlineStr">
        <ns0:is>
          <ns0:t>P0</ns0:t>
        </ns0:is>
      </ns0:c>
      <ns0:c r="G4" s="8" t="inlineStr">
        <ns0:is>
          <ns0:t>S0</ns0:t>
        </ns0:is>
      </ns0:c>
      <ns0:c r="H4" s="8" t="inlineStr">
        <ns0:is>
          <ns0:t>A production-shaped error appears in the tracker with tenant context</ns0:t>
        </ns0:is>
      </ns0:c>
      <ns0:c r="I4" s="8" t="inlineStr">
        <ns0:is>
          <ns0:t>Not started</ns0:t>
        </ns0:is>
      </ns0:c>
    </ns0:row>
    <ns0:row r="5" ht="44" customHeight="1">
      <ns0:c r="A5" s="9" t="inlineStr">
        <ns0:is>
          <ns0:t>S0-04</ns0:t>
        </ns0:is>
      </ns0:c>
      <ns0:c r="B5" s="9" t="inlineStr">
        <ns0:is>
          <ns0:t>Foundation</ns0:t>
        </ns0:is>
      </ns0:c>
      <ns0:c r="C5" s="9" t="inlineStr">
        <ns0:is>
          <ns0:t>Recruit pilot property + content owner</ns0:t>
        </ns0:is>
      </ns0:c>
      <ns0:c r="D5" s="9" t="inlineStr">
        <ns0:is>
          <ns0:t>Signed letter or email; named person; 4–6 hours committed in weeks 1–2. Content readiness is a sales gate.</ns0:t>
        </ns0:is>
      </ns0:c>
      <ns0:c r="E5" s="9" t="n">
        <ns0:v>1</ns0:v>
      </ns0:c>
      <ns0:c r="F5" s="9" t="inlineStr">
        <ns0:is>
          <ns0:t>P0</ns0:t>
        </ns0:is>
      </ns0:c>
      <ns0:c r="G5" s="9" t="inlineStr">
        <ns0:is>
          <ns0:t>S0</ns0:t>
        </ns0:is>
      </ns0:c>
      <ns0:c r="H5" s="9" t="inlineStr">
        <ns0:is>
          <ns0:t>Named content owner with dates on the calendar</ns0:t>
        </ns0:is>
      </ns0:c>
      <ns0:c r="I5" s="9" t="inlineStr">
        <ns0:is>
          <ns0:t>Not started</ns0:t>
        </ns0:is>
      </ns0:c>
    </ns0:row>
    <ns0:row r="6" ht="44" customHeight="1">
      <ns0:c r="A6" s="8" t="inlineStr">
        <ns0:is>
          <ns0:t>S0-05</ns0:t>
        </ns0:is>
      </ns0:c>
      <ns0:c r="B6" s="8" t="inlineStr">
        <ns0:is>
          <ns0:t>Foundation</ns0:t>
        </ns0:is>
      </ns0:c>
      <ns0:c r="C6" s="8" t="inlineStr">
        <ns0:is>
          <ns0:t>Submit Meta business verification</ns0:t>
        </ns0:is>
      </ns0:c>
      <ns0:c r="D6" s="8" t="inlineStr">
        <ns0:is>
          <ns0:t>Start the waiting clock on day 1–5. Legal entity docs, display name, business website.</ns0:t>
        </ns0:is>
      </ns0:c>
      <ns0:c r="E6" s="8" t="n">
        <ns0:v>0.5</ns0:v>
      </ns0:c>
      <ns0:c r="F6" s="8" t="inlineStr">
        <ns0:is>
          <ns0:t>P0</ns0:t>
        </ns0:is>
      </ns0:c>
      <ns0:c r="G6" s="8" t="inlineStr">
        <ns0:is>
          <ns0:t>S0</ns0:t>
        </ns0:is>
      </ns0:c>
      <ns0:c r="H6" s="8" t="inlineStr">
        <ns0:is>
          <ns0:t>Submission confirmed; review SLA noted</ns0:t>
        </ns0:is>
      </ns0:c>
      <ns0:c r="I6" s="8" t="inlineStr">
        <ns0:is>
          <ns0:t>Not started</ns0:t>
        </ns0:is>
      </ns0:c>
    </ns0:row>
    <ns0:row r="7" ht="44" customHeight="1">
      <ns0:c r="A7" s="9" t="inlineStr">
        <ns0:is>
          <ns0:t>S0-06</ns0:t>
        </ns0:is>
      </ns0:c>
      <ns0:c r="B7" s="9" t="inlineStr">
        <ns0:is>
          <ns0:t>Foundation</ns0:t>
        </ns0:is>
      </ns0:c>
      <ns0:c r="C7" s="9" t="inlineStr">
        <ns0:is>
          <ns0:t>Select WhatsApp provider (BSP or direct)</ns0:t>
        </ns0:is>
      </ns0:c>
      <ns0:c r="D7" s="9" t="inlineStr">
        <ns0:is>
          <ns0:t>Score on: Embedded Signup, number ownership/portability, MX coverage, webhook quality, per-message cost, onboarding support.</ns0:t>
        </ns0:is>
      </ns0:c>
      <ns0:c r="E7" s="9" t="n">
        <ns0:v>1</ns0:v>
      </ns0:c>
      <ns0:c r="F7" s="9" t="inlineStr">
        <ns0:is>
          <ns0:t>P0</ns0:t>
        </ns0:is>
      </ns0:c>
      <ns0:c r="G7" s="9" t="inlineStr">
        <ns0:is>
          <ns0:t>S0</ns0:t>
        </ns0:is>
      </ns0:c>
      <ns0:c r="H7" s="9" t="inlineStr">
        <ns0:is>
          <ns0:t>Signed decision record D11; account opened</ns0:t>
        </ns0:is>
      </ns0:c>
      <ns0:c r="I7" s="9" t="inlineStr">
        <ns0:is>
          <ns0:t>Not started</ns0:t>
        </ns0:is>
      </ns0:c>
    </ns0:row>
    <ns0:row r="8" ht="44" customHeight="1">
      <ns0:c r="A8" s="8" t="inlineStr">
        <ns0:is>
          <ns0:t>S0-07</ns0:t>
        </ns0:is>
      </ns0:c>
      <ns0:c r="B8" s="8" t="inlineStr">
        <ns0:is>
          <ns0:t>Knowledge</ns0:t>
        </ns0:is>
      </ns0:c>
      <ns0:c r="C8" s="8" t="inlineStr">
        <ns0:is>
          <ns0:t>Define content model + article template</ns0:t>
        </ns0:is>
      </ns0:c>
      <ns0:c r="D8" s="8" t="inlineStr">
        <ns0:is>
          <ns0:t>Article = title, topic_key, languages, owner, verified_at, review_due, chunkable body.</ns0:t>
        </ns0:is>
      </ns0:c>
      <ns0:c r="E8" s="8" t="n">
        <ns0:v>0.5</ns0:v>
      </ns0:c>
      <ns0:c r="F8" s="8" t="inlineStr">
        <ns0:is>
          <ns0:t>P0</ns0:t>
        </ns0:is>
      </ns0:c>
      <ns0:c r="G8" s="8" t="inlineStr">
        <ns0:is>
          <ns0:t>S0</ns0:t>
        </ns0:is>
      </ns0:c>
      <ns0:c r="H8" s="8" t="inlineStr">
        <ns0:is>
          <ns0:t>Template agreed; one sample article per section written by the hotel</ns0:t>
        </ns0:is>
      </ns0:c>
      <ns0:c r="I8" s="8" t="inlineStr">
        <ns0:is>
          <ns0:t>Not started</ns0:t>
        </ns0:is>
      </ns0:c>
    </ns0:row>
    <ns0:row r="9" ht="44" customHeight="1">
      <ns0:c r="A9" s="9" t="inlineStr">
        <ns0:is>
          <ns0:t>S0-08</ns0:t>
        </ns0:is>
      </ns0:c>
      <ns0:c r="B9" s="9" t="inlineStr">
        <ns0:is>
          <ns0:t>AI</ns0:t>
        </ns0:is>
      </ns0:c>
      <ns0:c r="C9" s="9" t="inlineStr">
        <ns0:is>
          <ns0:t>Draft golden-question set v1</ns0:t>
        </ns0:is>
      </ns0:c>
      <ns0:c r="D9" s="9" t="inlineStr">
        <ns0:is>
          <ns0:t>40–50 real questions per property in its actual languages. Expected behaviour, not expected string.</ns0:t>
        </ns0:is>
      </ns0:c>
      <ns0:c r="E9" s="9" t="n">
        <ns0:v>0.5</ns0:v>
      </ns0:c>
      <ns0:c r="F9" s="9" t="inlineStr">
        <ns0:is>
          <ns0:t>P0</ns0:t>
        </ns0:is>
      </ns0:c>
      <ns0:c r="G9" s="9" t="inlineStr">
        <ns0:is>
          <ns0:t>S0</ns0:t>
        </ns0:is>
      </ns0:c>
      <ns0:c r="H9" s="9" t="inlineStr">
        <ns0:is>
          <ns0:t>≥ 40 questions covering answer / escalate / refuse</ns0:t>
        </ns0:is>
      </ns0:c>
      <ns0:c r="I9" s="9" t="inlineStr">
        <ns0:is>
          <ns0:t>Not started</ns0:t>
        </ns0:is>
      </ns0:c>
    </ns0:row>
    <ns0:row r="10" ht="44" customHeight="1">
      <ns0:c r="A10" s="8" t="inlineStr">
        <ns0:is>
          <ns0:t>S0-09</ns0:t>
        </ns0:is>
      </ns0:c>
      <ns0:c r="B10" s="8" t="inlineStr">
        <ns0:is>
          <ns0:t>Analytics</ns0:t>
        </ns0:is>
      </ns0:c>
      <ns0:c r="C10" s="8" t="inlineStr">
        <ns0:is>
          <ns0:t>Design event taxonomy</ns0:t>
        </ns0:is>
      </ns0:c>
      <ns0:c r="D10" s="8" t="inlineStr">
        <ns0:is>
          <ns0:t>18 events, every one carrying org_id, property_id, conversation_id, channel, language, topic.</ns0:t>
        </ns0:is>
      </ns0:c>
      <ns0:c r="E10" s="8" t="n">
        <ns0:v>0.5</ns0:v>
      </ns0:c>
      <ns0:c r="F10" s="8" t="inlineStr">
        <ns0:is>
          <ns0:t>P0</ns0:t>
        </ns0:is>
      </ns0:c>
      <ns0:c r="G10" s="8" t="inlineStr">
        <ns0:is>
          <ns0:t>S0</ns0:t>
        </ns0:is>
      </ns0:c>
      <ns0:c r="H10" s="8" t="inlineStr">
        <ns0:is>
          <ns0:t>Taxonomy doc; no dashboard built before this exists</ns0:t>
        </ns0:is>
      </ns0:c>
      <ns0:c r="I10" s="8" t="inlineStr">
        <ns0:is>
          <ns0:t>Not started</ns0:t>
        </ns0:is>
      </ns0:c>
    </ns0:row>
    <ns0:row r="11" ht="44" customHeight="1">
      <ns0:c r="A11" s="9" t="inlineStr">
        <ns0:is>
          <ns0:t>S0-10</ns0:t>
        </ns0:is>
      </ns0:c>
      <ns0:c r="B11" s="9" t="inlineStr">
        <ns0:is>
          <ns0:t>Compliance</ns0:t>
        </ns0:is>
      </ns0:c>
      <ns0:c r="C11" s="9" t="inlineStr">
        <ns0:is>
          <ns0:t>Privacy notice + DPA draft to counsel</ns0:t>
        </ns0:is>
      </ns0:c>
      <ns0:c r="D11" s="9" t="inlineStr">
        <ns0:is>
          <ns0:t>LFPDPPP 2025 compliant. Enumerated purposes (no 'similar purposes' catch-all). Processor obligations explicit.</ns0:t>
        </ns0:is>
      </ns0:c>
      <ns0:c r="E11" s="9" t="n">
        <ns0:v>1</ns0:v>
      </ns0:c>
      <ns0:c r="F11" s="9" t="inlineStr">
        <ns0:is>
          <ns0:t>P0</ns0:t>
        </ns0:is>
      </ns0:c>
      <ns0:c r="G11" s="9" t="inlineStr">
        <ns0:is>
          <ns0:t>S0</ns0:t>
        </ns0:is>
      </ns0:c>
      <ns0:c r="H11" s="9" t="inlineStr">
        <ns0:is>
          <ns0:t>Draft to a Mexican lawyer; DPA template ready before first pilot</ns0:t>
        </ns0:is>
      </ns0:c>
      <ns0:c r="I11" s="9" t="inlineStr">
        <ns0:is>
          <ns0:t>Not started</ns0:t>
        </ns0:is>
      </ns0:c>
    </ns0:row>
    <ns0:row r="12" ht="44" customHeight="1">
      <ns0:c r="A12" s="8" t="inlineStr">
        <ns0:is>
          <ns0:t>S0-11</ns0:t>
        </ns0:is>
      </ns0:c>
      <ns0:c r="B12" s="8" t="inlineStr">
        <ns0:is>
          <ns0:t>Foundation</ns0:t>
        </ns0:is>
      </ns0:c>
      <ns0:c r="C12" s="8" t="inlineStr">
        <ns0:is>
          <ns0:t>One-page non-goals doc for sales</ns0:t>
        </ns0:is>
      </ns0:c>
      <ns0:c r="D12" s="8" t="inlineStr">
        <ns0:is>
          <ns0:t>The written 'no' list. Pre-empts the PMS-integration wishlist in every sales conversation.</ns0:t>
        </ns0:is>
      </ns0:c>
      <ns0:c r="E12" s="8" t="n">
        <ns0:v>0.25</ns0:v>
      </ns0:c>
      <ns0:c r="F12" s="8" t="inlineStr">
        <ns0:is>
          <ns0:t>P0</ns0:t>
        </ns0:is>
      </ns0:c>
      <ns0:c r="G12" s="8" t="inlineStr">
        <ns0:is>
          <ns0:t>S0</ns0:t>
        </ns0:is>
      </ns0:c>
      <ns0:c r="H12" s="8" t="inlineStr">
        <ns0:is>
          <ns0:t>Reviewed with whoever runs sales</ns0:t>
        </ns0:is>
      </ns0:c>
      <ns0:c r="I12" s="8" t="inlineStr">
        <ns0:is>
          <ns0:t>Not started</ns0:t>
        </ns0:is>
      </ns0:c>
    </ns0:row>
    <ns0:row r="13" ht="44" customHeight="1">
      <ns0:c r="A13" s="9" t="inlineStr">
        <ns0:is>
          <ns0:t>S1-01</ns0:t>
        </ns0:is>
      </ns0:c>
      <ns0:c r="B13" s="9" t="inlineStr">
        <ns0:is>
          <ns0:t>Foundation</ns0:t>
        </ns0:is>
      </ns0:c>
      <ns0:c r="C13" s="9" t="inlineStr">
        <ns0:is>
          <ns0:t>Schema + migrations</ns0:t>
        </ns0:is>
      </ns0:c>
      <ns0:c r="D13" s="9" t="inlineStr">
        <ns0:is>
          <ns0:t>organizations, properties, users, memberships, roles, channel_connections, channel_identities, conversations, messages, message_delivery_events, service_requests, assignments, internal_notes, knowledge_sources, knowledge_articles, article_versions, property_facts, ai_runs, citations, handoff_reasons, knowledge_gaps, events, rollups, audit_log, outbox.</ns0:t>
        </ns0:is>
      </ns0:c>
      <ns0:c r="E13" s="9" t="n">
        <ns0:v>3</ns0:v>
      </ns0:c>
      <ns0:c r="F13" s="9" t="inlineStr">
        <ns0:is>
          <ns0:t>P0</ns0:t>
        </ns0:is>
      </ns0:c>
      <ns0:c r="G13" s="9" t="inlineStr">
        <ns0:is>
          <ns0:t>S1</ns0:t>
        </ns0:is>
      </ns0:c>
      <ns0:c r="H13" s="9" t="inlineStr">
        <ns0:is>
          <ns0:t>Migration runs clean from empty; ERD committed</ns0:t>
        </ns0:is>
      </ns0:c>
      <ns0:c r="I13" s="9" t="inlineStr">
        <ns0:is>
          <ns0:t>Not started</ns0:t>
        </ns0:is>
      </ns0:c>
    </ns0:row>
    <ns0:row r="14" ht="44" customHeight="1">
      <ns0:c r="A14" s="8" t="inlineStr">
        <ns0:is>
          <ns0:t>S1-02</ns0:t>
        </ns0:is>
      </ns0:c>
      <ns0:c r="B14" s="8" t="inlineStr">
        <ns0:is>
          <ns0:t>Foundation</ns0:t>
        </ns0:is>
      </ns0:c>
      <ns0:c r="C14" s="8" t="inlineStr">
        <ns0:is>
          <ns0:t>Row-level security policies</ns0:t>
        </ns0:is>
      </ns0:c>
      <ns0:c r="D14" s="8" t="inlineStr">
        <ns0:is>
          <ns0:t>RLS on every tenant table, keyed by org/property membership. Plus app-layer guard. Both, not either.</ns0:t>
        </ns0:is>
      </ns0:c>
      <ns0:c r="E14" s="8" t="n">
        <ns0:v>2</ns0:v>
      </ns0:c>
      <ns0:c r="F14" s="8" t="inlineStr">
        <ns0:is>
          <ns0:t>P0</ns0:t>
        </ns0:is>
      </ns0:c>
      <ns0:c r="G14" s="8" t="inlineStr">
        <ns0:is>
          <ns0:t>S1</ns0:t>
        </ns0:is>
      </ns0:c>
      <ns0:c r="H14" s="8" t="inlineStr">
        <ns0:is>
          <ns0:t>Cross-tenant test suite green on all endpoints</ns0:t>
        </ns0:is>
      </ns0:c>
      <ns0:c r="I14" s="8" t="inlineStr">
        <ns0:is>
          <ns0:t>Not started</ns0:t>
        </ns0:is>
      </ns0:c>
    </ns0:row>
    <ns0:row r="15" ht="44" customHeight="1">
      <ns0:c r="A15" s="9" t="inlineStr">
        <ns0:is>
          <ns0:t>S1-03</ns0:t>
        </ns0:is>
      </ns0:c>
      <ns0:c r="B15" s="9" t="inlineStr">
        <ns0:is>
          <ns0:t>Foundation</ns0:t>
        </ns0:is>
      </ns0:c>
      <ns0:c r="C15" s="9" t="inlineStr">
        <ns0:is>
          <ns0:t>Auth + roles</ns0:t>
        </ns0:is>
      </ns0:c>
      <ns0:c r="D15" s="9" t="inlineStr">
        <ns0:is>
          <ns0:t>Magic-link auth. Four roles: platform admin, org admin, property manager, agent. Org-scoped and property-scoped memberships.</ns0:t>
        </ns0:is>
      </ns0:c>
      <ns0:c r="E15" s="9" t="n">
        <ns0:v>2</ns0:v>
      </ns0:c>
      <ns0:c r="F15" s="9" t="inlineStr">
        <ns0:is>
          <ns0:t>P0</ns0:t>
        </ns0:is>
      </ns0:c>
      <ns0:c r="G15" s="9" t="inlineStr">
        <ns0:is>
          <ns0:t>S1</ns0:t>
        </ns0:is>
      </ns0:c>
      <ns0:c r="H15" s="9" t="inlineStr">
        <ns0:is>
          <ns0:t>An agent at property A gets 403/404 on every property B resource</ns0:t>
        </ns0:is>
      </ns0:c>
      <ns0:c r="I15" s="9" t="inlineStr">
        <ns0:is>
          <ns0:t>Not started</ns0:t>
        </ns0:is>
      </ns0:c>
    </ns0:row>
    <ns0:row r="16" ht="44" customHeight="1">
      <ns0:c r="A16" s="8" t="inlineStr">
        <ns0:is>
          <ns0:t>S1-04</ns0:t>
        </ns0:is>
      </ns0:c>
      <ns0:c r="B16" s="8" t="inlineStr">
        <ns0:is>
          <ns0:t>Foundation</ns0:t>
        </ns0:is>
      </ns0:c>
      <ns0:c r="C16" s="8" t="inlineStr">
        <ns0:is>
          <ns0:t>Property settings</ns0:t>
        </ns0:is>
      </ns0:c>
      <ns0:c r="D16" s="8" t="inlineStr">
        <ns0:is>
          <ns0:t>Languages, tone/register, operating hours, escalation contacts, enabled topics, AI mode, spend caps.</ns0:t>
        </ns0:is>
      </ns0:c>
      <ns0:c r="E16" s="8" t="n">
        <ns0:v>1</ns0:v>
      </ns0:c>
      <ns0:c r="F16" s="8" t="inlineStr">
        <ns0:is>
          <ns0:t>P0</ns0:t>
        </ns0:is>
      </ns0:c>
      <ns0:c r="G16" s="8" t="inlineStr">
        <ns0:is>
          <ns0:t>S1</ns0:t>
        </ns0:is>
      </ns0:c>
      <ns0:c r="H16" s="8" t="inlineStr">
        <ns0:is>
          <ns0:t>Settings persist and are read by the AI policy layer</ns0:t>
        </ns0:is>
      </ns0:c>
      <ns0:c r="I16" s="8" t="inlineStr">
        <ns0:is>
          <ns0:t>Not started</ns0:t>
        </ns0:is>
      </ns0:c>
    </ns0:row>
    <ns0:row r="17" ht="44" customHeight="1">
      <ns0:c r="A17" s="9" t="inlineStr">
        <ns0:is>
          <ns0:t>S1-05</ns0:t>
        </ns0:is>
      </ns0:c>
      <ns0:c r="B17" s="9" t="inlineStr">
        <ns0:is>
          <ns0:t>Foundation</ns0:t>
        </ns0:is>
      </ns0:c>
      <ns0:c r="C17" s="9" t="inlineStr">
        <ns0:is>
          <ns0:t>Audit log</ns0:t>
        </ns0:is>
      </ns0:c>
      <ns0:c r="D17" s="9" t="inlineStr">
        <ns0:is>
          <ns0:t>Who changed an answer, who took over, who sent a message, who accessed as support, when.</ns0:t>
        </ns0:is>
      </ns0:c>
      <ns0:c r="E17" s="9" t="n">
        <ns0:v>1</ns0:v>
      </ns0:c>
      <ns0:c r="F17" s="9" t="inlineStr">
        <ns0:is>
          <ns0:t>P0</ns0:t>
        </ns0:is>
      </ns0:c>
      <ns0:c r="G17" s="9" t="inlineStr">
        <ns0:is>
          <ns0:t>S1</ns0:t>
        </ns0:is>
      </ns0:c>
      <ns0:c r="H17" s="9" t="inlineStr">
        <ns0:is>
          <ns0:t>Every consequential action writes an audit row</ns0:t>
        </ns0:is>
      </ns0:c>
      <ns0:c r="I17" s="9" t="inlineStr">
        <ns0:is>
          <ns0:t>Not started</ns0:t>
        </ns0:is>
      </ns0:c>
    </ns0:row>
    <ns0:row r="18" ht="44" customHeight="1">
      <ns0:c r="A18" s="8" t="inlineStr">
        <ns0:is>
          <ns0:t>S1-06</ns0:t>
        </ns0:is>
      </ns0:c>
      <ns0:c r="B18" s="8" t="inlineStr">
        <ns0:is>
          <ns0:t>Foundation</ns0:t>
        </ns0:is>
      </ns0:c>
      <ns0:c r="C18" s="8" t="inlineStr">
        <ns0:is>
          <ns0:t>Seed fixtures + demo property</ns0:t>
        </ns0:is>
      </ns0:c>
      <ns0:c r="D18" s="8" t="inlineStr">
        <ns0:is>
          <ns0:t>So engineering is never blocked waiting on hotel content.</ns0:t>
        </ns0:is>
      </ns0:c>
      <ns0:c r="E18" s="8" t="n">
        <ns0:v>1</ns0:v>
      </ns0:c>
      <ns0:c r="F18" s="8" t="inlineStr">
        <ns0:is>
          <ns0:t>P1</ns0:t>
        </ns0:is>
      </ns0:c>
      <ns0:c r="G18" s="8" t="inlineStr">
        <ns0:is>
          <ns0:t>S1</ns0:t>
        </ns0:is>
      </ns0:c>
      <ns0:c r="H18" s="8" t="inlineStr">
        <ns0:is>
          <ns0:t>`make seed` produces a fully populated demo property</ns0:t>
        </ns0:is>
      </ns0:c>
      <ns0:c r="I18" s="8" t="inlineStr">
        <ns0:is>
          <ns0:t>Not started</ns0:t>
        </ns0:is>
      </ns0:c>
    </ns0:row>
    <ns0:row r="19" ht="44" customHeight="1">
      <ns0:c r="A19" s="9" t="inlineStr">
        <ns0:is>
          <ns0:t>S2-01</ns0:t>
        </ns0:is>
      </ns0:c>
      <ns0:c r="B19" s="9" t="inlineStr">
        <ns0:is>
          <ns0:t>Knowledge</ns0:t>
        </ns0:is>
      </ns0:c>
      <ns0:c r="C19" s="9" t="inlineStr">
        <ns0:is>
          <ns0:t>Article editor + versioning</ns0:t>
        </ns0:is>
      </ns0:c>
      <ns0:c r="D19" s="9" t="inlineStr">
        <ns0:is>
          <ns0:t>Rich text → chunks. Immutable article_versions. Every edit creates a version.</ns0:t>
        </ns0:is>
      </ns0:c>
      <ns0:c r="E19" s="9" t="n">
        <ns0:v>2</ns0:v>
      </ns0:c>
      <ns0:c r="F19" s="9" t="inlineStr">
        <ns0:is>
          <ns0:t>P0</ns0:t>
        </ns0:is>
      </ns0:c>
      <ns0:c r="G19" s="9" t="inlineStr">
        <ns0:is>
          <ns0:t>S2</ns0:t>
        </ns0:is>
      </ns0:c>
      <ns0:c r="H19" s="9" t="inlineStr">
        <ns0:is>
          <ns0:t>Editing an article never mutates a historical version</ns0:t>
        </ns0:is>
      </ns0:c>
      <ns0:c r="I19" s="9" t="inlineStr">
        <ns0:is>
          <ns0:t>Not started</ns0:t>
        </ns0:is>
      </ns0:c>
    </ns0:row>
    <ns0:row r="20" ht="44" customHeight="1">
      <ns0:c r="A20" s="8" t="inlineStr">
        <ns0:is>
          <ns0:t>S2-02</ns0:t>
        </ns0:is>
      </ns0:c>
      <ns0:c r="B20" s="8" t="inlineStr">
        <ns0:is>
          <ns0:t>Knowledge</ns0:t>
        </ns0:is>
      </ns0:c>
      <ns0:c r="C20" s="8" t="inlineStr">
        <ns0:is>
          <ns0:t>CSV bulk import (basic)</ns0:t>
        </ns0:is>
      </ns0:c>
      <ns0:c r="D20" s="8" t="inlineStr">
        <ns0:is>
          <ns0:t>Guest directory / menu import, with preview. Hardened validation deferred; assisted import covers the first five hotels.</ns0:t>
        </ns0:is>
      </ns0:c>
      <ns0:c r="E20" s="8" t="n">
        <ns0:v>1</ns0:v>
      </ns0:c>
      <ns0:c r="F20" s="8" t="inlineStr">
        <ns0:is>
          <ns0:t>P0</ns0:t>
        </ns0:is>
      </ns0:c>
      <ns0:c r="G20" s="8" t="inlineStr">
        <ns0:is>
          <ns0:t>S2</ns0:t>
        </ns0:is>
      </ns0:c>
      <ns0:c r="H20" s="8" t="inlineStr">
        <ns0:is>
          <ns0:t>A 100-row CSV imports with a preview step and zero silent failures</ns0:t>
        </ns0:is>
      </ns0:c>
      <ns0:c r="I20" s="8" t="inlineStr">
        <ns0:is>
          <ns0:t>Not started</ns0:t>
        </ns0:is>
      </ns0:c>
    </ns0:row>
    <ns0:row r="21" ht="44" customHeight="1">
      <ns0:c r="A21" s="9" t="inlineStr">
        <ns0:is>
          <ns0:t>S2-03</ns0:t>
        </ns0:is>
      </ns0:c>
      <ns0:c r="B21" s="9" t="inlineStr">
        <ns0:is>
          <ns0:t>Knowledge</ns0:t>
        </ns0:is>
      </ns0:c>
      <ns0:c r="C21" s="9" t="inlineStr">
        <ns0:is>
          <ns0:t>property_facts table + UI</ns0:t>
        </ns0:is>
      </ns0:c>
      <ns0:c r="D21" s="9" t="inlineStr">
        <ns0:is>
          <ns0:t>Hours, prices, distances, capacities as structured values with verified_at and source version.</ns0:t>
        </ns0:is>
      </ns0:c>
      <ns0:c r="E21" s="9" t="n">
        <ns0:v>2</ns0:v>
      </ns0:c>
      <ns0:c r="F21" s="9" t="inlineStr">
        <ns0:is>
          <ns0:t>P0</ns0:t>
        </ns0:is>
      </ns0:c>
      <ns0:c r="G21" s="9" t="inlineStr">
        <ns0:is>
          <ns0:t>S2</ns0:t>
        </ns0:is>
      </ns0:c>
      <ns0:c r="H21" s="9" t="inlineStr">
        <ns0:is>
          <ns0:t>Pool hours are answered by lookup, not generation</ns0:t>
        </ns0:is>
      </ns0:c>
      <ns0:c r="I21" s="9" t="inlineStr">
        <ns0:is>
          <ns0:t>Not started</ns0:t>
        </ns0:is>
      </ns0:c>
    </ns0:row>
    <ns0:row r="22" ht="44" customHeight="1">
      <ns0:c r="A22" s="8" t="inlineStr">
        <ns0:is>
          <ns0:t>S2-04</ns0:t>
        </ns0:is>
      </ns0:c>
      <ns0:c r="B22" s="8" t="inlineStr">
        <ns0:is>
          <ns0:t>Knowledge</ns0:t>
        </ns0:is>
      </ns0:c>
      <ns0:c r="C22" s="8" t="inlineStr">
        <ns0:is>
          <ns0:t>Review-and-approve screen</ns0:t>
        </ns0:is>
      </ns0:c>
      <ns0:c r="D22" s="8" t="inlineStr">
        <ns0:is>
          <ns0:t>Nothing publishes silently. Flags missing fields and contradictions (e.g. website 21:00 vs PDF 20:00).</ns0:t>
        </ns0:is>
      </ns0:c>
      <ns0:c r="E22" s="8" t="n">
        <ns0:v>2</ns0:v>
      </ns0:c>
      <ns0:c r="F22" s="8" t="inlineStr">
        <ns0:is>
          <ns0:t>P0</ns0:t>
        </ns0:is>
      </ns0:c>
      <ns0:c r="G22" s="8" t="inlineStr">
        <ns0:is>
          <ns0:t>S2</ns0:t>
        </ns0:is>
      </ns0:c>
      <ns0:c r="H22" s="8" t="inlineStr">
        <ns0:is>
          <ns0:t>A contradictory pair is caught and blocked until resolved</ns0:t>
        </ns0:is>
      </ns0:c>
      <ns0:c r="I22" s="8" t="inlineStr">
        <ns0:is>
          <ns0:t>Not started</ns0:t>
        </ns0:is>
      </ns0:c>
    </ns0:row>
    <ns0:row r="23" ht="44" customHeight="1">
      <ns0:c r="A23" s="9" t="inlineStr">
        <ns0:is>
          <ns0:t>S2-05</ns0:t>
        </ns0:is>
      </ns0:c>
      <ns0:c r="B23" s="9" t="inlineStr">
        <ns0:is>
          <ns0:t>AI</ns0:t>
        </ns0:is>
      </ns0:c>
      <ns0:c r="C23" s="9" t="inlineStr">
        <ns0:is>
          <ns0:t>Chunking + embeddings</ns0:t>
        </ns0:is>
      </ns0:c>
      <ns0:c r="D23" s="9" t="inlineStr">
        <ns0:is>
          <ns0:t>Store embeddings from day one. Do not gate retrieval quality on them yet.</ns0:t>
        </ns0:is>
      </ns0:c>
      <ns0:c r="E23" s="9" t="n">
        <ns0:v>1</ns0:v>
      </ns0:c>
      <ns0:c r="F23" s="9" t="inlineStr">
        <ns0:is>
          <ns0:t>P0</ns0:t>
        </ns0:is>
      </ns0:c>
      <ns0:c r="G23" s="9" t="inlineStr">
        <ns0:is>
          <ns0:t>S2</ns0:t>
        </ns0:is>
      </ns0:c>
      <ns0:c r="H23" s="9" t="inlineStr">
        <ns0:is>
          <ns0:t>Every published article version is chunked and embedded</ns0:t>
        </ns0:is>
      </ns0:c>
      <ns0:c r="I23" s="9" t="inlineStr">
        <ns0:is>
          <ns0:t>Not started</ns0:t>
        </ns0:is>
      </ns0:c>
    </ns0:row>
    <ns0:row r="24" ht="44" customHeight="1">
      <ns0:c r="A24" s="8" t="inlineStr">
        <ns0:is>
          <ns0:t>S2-06</ns0:t>
        </ns0:is>
      </ns0:c>
      <ns0:c r="B24" s="8" t="inlineStr">
        <ns0:is>
          <ns0:t>AI</ns0:t>
        </ns0:is>
      </ns0:c>
      <ns0:c r="C24" s="8" t="inlineStr">
        <ns0:is>
          <ns0:t>Hybrid retrieval</ns0:t>
        </ns0:is>
      </ns0:c>
      <ns0:c r="D24" s="8" t="inlineStr">
        <ns0:is>
          <ns0:t>Postgres FTS + trigram + pgvector, property-scoped. Returns scored chunks.</ns0:t>
        </ns0:is>
      </ns0:c>
      <ns0:c r="E24" s="8" t="n">
        <ns0:v>2</ns0:v>
      </ns0:c>
      <ns0:c r="F24" s="8" t="inlineStr">
        <ns0:is>
          <ns0:t>P0</ns0:t>
        </ns0:is>
      </ns0:c>
      <ns0:c r="G24" s="8" t="inlineStr">
        <ns0:is>
          <ns0:t>S2</ns0:t>
        </ns0:is>
      </ns0:c>
      <ns0:c r="H24" s="8" t="inlineStr">
        <ns0:is>
          <ns0:t>Retrieval recall ≥ 90% on the golden set's target articles</ns0:t>
        </ns0:is>
      </ns0:c>
      <ns0:c r="I24" s="8" t="inlineStr">
        <ns0:is>
          <ns0:t>Not started</ns0:t>
        </ns0:is>
      </ns0:c>
    </ns0:row>
    <ns0:row r="25" ht="44" customHeight="1">
      <ns0:c r="A25" s="9" t="inlineStr">
        <ns0:is>
          <ns0:t>S2-07</ns0:t>
        </ns0:is>
      </ns0:c>
      <ns0:c r="B25" s="9" t="inlineStr">
        <ns0:is>
          <ns0:t>AI</ns0:t>
        </ns0:is>
      </ns0:c>
      <ns0:c r="C25" s="9" t="inlineStr">
        <ns0:is>
          <ns0:t>AI service with structured output contract</ns0:t>
        </ns0:is>
      </ns0:c>
      <ns0:c r="D25" s="9" t="inlineStr">
        <ns0:is>
          <ns0:t>JSON: decision, answer, citations, reason_code, topic_keys_used, confidence. Temperature 0. No tools.</ns0:t>
        </ns0:is>
      </ns0:c>
      <ns0:c r="E25" s="9" t="n">
        <ns0:v>2</ns0:v>
      </ns0:c>
      <ns0:c r="F25" s="9" t="inlineStr">
        <ns0:is>
          <ns0:t>P0</ns0:t>
        </ns0:is>
      </ns0:c>
      <ns0:c r="G25" s="9" t="inlineStr">
        <ns0:is>
          <ns0:t>S2</ns0:t>
        </ns0:is>
      </ns0:c>
      <ns0:c r="H25" s="9" t="inlineStr">
        <ns0:is>
          <ns0:t>Malformed output is rejected server-side, never sent</ns0:t>
        </ns0:is>
      </ns0:c>
      <ns0:c r="I25" s="9" t="inlineStr">
        <ns0:is>
          <ns0:t>Not started</ns0:t>
        </ns0:is>
      </ns0:c>
    </ns0:row>
    <ns0:row r="26" ht="44" customHeight="1">
      <ns0:c r="A26" s="8" t="inlineStr">
        <ns0:is>
          <ns0:t>S2-08</ns0:t>
        </ns0:is>
      </ns0:c>
      <ns0:c r="B26" s="8" t="inlineStr">
        <ns0:is>
          <ns0:t>AI</ns0:t>
        </ns0:is>
      </ns0:c>
      <ns0:c r="C26" s="8" t="inlineStr">
        <ns0:is>
          <ns0:t>Guardrail layer</ns0:t>
        </ns0:is>
      </ns0:c>
      <ns0:c r="D26" s="8" t="inlineStr">
        <ns0:is>
          <ns0:t>Retrieve-gate, citation check, banned-content check ('confirmed', 'on the way', prices, availability), entailment pass.</ns0:t>
        </ns0:is>
      </ns0:c>
      <ns0:c r="E26" s="8" t="n">
        <ns0:v>2.5</ns0:v>
      </ns0:c>
      <ns0:c r="F26" s="8" t="inlineStr">
        <ns0:is>
          <ns0:t>P0</ns0:t>
        </ns0:is>
      </ns0:c>
      <ns0:c r="G26" s="8" t="inlineStr">
        <ns0:is>
          <ns0:t>S2</ns0:t>
        </ns0:is>
      </ns0:c>
      <ns0:c r="H26" s="8" t="inlineStr">
        <ns0:is>
          <ns0:t>Every rejection logs a reason_code; no false answer survives the gate</ns0:t>
        </ns0:is>
      </ns0:c>
      <ns0:c r="I26" s="8" t="inlineStr">
        <ns0:is>
          <ns0:t>Not started</ns0:t>
        </ns0:is>
      </ns0:c>
    </ns0:row>
    <ns0:row r="27" ht="44" customHeight="1">
      <ns0:c r="A27" s="9" t="inlineStr">
        <ns0:is>
          <ns0:t>S2-09</ns0:t>
        </ns0:is>
      </ns0:c>
      <ns0:c r="B27" s="9" t="inlineStr">
        <ns0:is>
          <ns0:t>AI</ns0:t>
        </ns0:is>
      </ns0:c>
      <ns0:c r="C27" s="9" t="inlineStr">
        <ns0:is>
          <ns0:t>ai_runs + citations logging</ns0:t>
        </ns0:is>
      </ns0:c>
      <ns0:c r="D27" s="9" t="inlineStr">
        <ns0:is>
          <ns0:t>prompt_version, model_id, retrieved chunk ids, decision, latency, token cost.</ns0:t>
        </ns0:is>
      </ns0:c>
      <ns0:c r="E27" s="9" t="n">
        <ns0:v>1</ns0:v>
      </ns0:c>
      <ns0:c r="F27" s="9" t="inlineStr">
        <ns0:is>
          <ns0:t>P0</ns0:t>
        </ns0:is>
      </ns0:c>
      <ns0:c r="G27" s="9" t="inlineStr">
        <ns0:is>
          <ns0:t>S2</ns0:t>
        </ns0:is>
      </ns0:c>
      <ns0:c r="H27" s="9" t="inlineStr">
        <ns0:is>
          <ns0:t>Any historical answer can be reconstructed from the DB</ns0:t>
        </ns0:is>
      </ns0:c>
      <ns0:c r="I27" s="9" t="inlineStr">
        <ns0:is>
          <ns0:t>Not started</ns0:t>
        </ns0:is>
      </ns0:c>
    </ns0:row>
    <ns0:row r="28" ht="44" customHeight="1">
      <ns0:c r="A28" s="8" t="inlineStr">
        <ns0:is>
          <ns0:t>S2-10</ns0:t>
        </ns0:is>
      </ns0:c>
      <ns0:c r="B28" s="8" t="inlineStr">
        <ns0:is>
          <ns0:t>AI</ns0:t>
        </ns0:is>
      </ns0:c>
      <ns0:c r="C28" s="8" t="inlineStr">
        <ns0:is>
          <ns0:t>Evaluation harness + CI job</ns0:t>
        </ns0:is>
      </ns0:c>
      <ns0:c r="D28" s="8" t="inlineStr">
        <ns0:is>
          <ns0:t>Scores correct answer / correct escalation / false answer / needless escalation. Runs on every prompt, model, or KB change.</ns0:t>
        </ns0:is>
      </ns0:c>
      <ns0:c r="E28" s="8" t="n">
        <ns0:v>1.5</ns0:v>
      </ns0:c>
      <ns0:c r="F28" s="8" t="inlineStr">
        <ns0:is>
          <ns0:t>P0</ns0:t>
        </ns0:is>
      </ns0:c>
      <ns0:c r="G28" s="8" t="inlineStr">
        <ns0:is>
          <ns0:t>S2</ns0:t>
        </ns0:is>
      </ns0:c>
      <ns0:c r="H28" s="8" t="inlineStr">
        <ns0:is>
          <ns0:t>G2 gate passes on demo property; harness runs in CI</ns0:t>
        </ns0:is>
      </ns0:c>
      <ns0:c r="I28" s="8" t="inlineStr">
        <ns0:is>
          <ns0:t>Not started</ns0:t>
        </ns0:is>
      </ns0:c>
    </ns0:row>
    <ns0:row r="29" ht="44" customHeight="1">
      <ns0:c r="A29" s="9" t="inlineStr">
        <ns0:is>
          <ns0:t>S3-01</ns0:t>
        </ns0:is>
      </ns0:c>
      <ns0:c r="B29" s="9" t="inlineStr">
        <ns0:is>
          <ns0:t>Chat</ns0:t>
        </ns0:is>
      </ns0:c>
      <ns0:c r="C29" s="9" t="inlineStr">
        <ns0:is>
          <ns0:t>Public property-scoped web chat</ns0:t>
        </ns0:is>
      </ns0:c>
      <ns0:c r="D29" s="9" t="inlineStr">
        <ns0:is>
          <ns0:t>/c/{slug}. Streaming. Mobile-first. No login.</ns0:t>
        </ns0:is>
      </ns0:c>
      <ns0:c r="E29" s="9" t="n">
        <ns0:v>2</ns0:v>
      </ns0:c>
      <ns0:c r="F29" s="9" t="inlineStr">
        <ns0:is>
          <ns0:t>P0</ns0:t>
        </ns0:is>
      </ns0:c>
      <ns0:c r="G29" s="9" t="inlineStr">
        <ns0:is>
          <ns0:t>S3</ns0:t>
        </ns0:is>
      </ns0:c>
      <ns0:c r="H29" s="9" t="inlineStr">
        <ns0:is>
          <ns0:t>A stranger can hold a full conversation on staging</ns0:t>
        </ns0:is>
      </ns0:c>
      <ns0:c r="I29" s="9" t="inlineStr">
        <ns0:is>
          <ns0:t>Not started</ns0:t>
        </ns0:is>
      </ns0:c>
    </ns0:row>
    <ns0:row r="30" ht="44" customHeight="1">
      <ns0:c r="A30" s="8" t="inlineStr">
        <ns0:is>
          <ns0:t>S3-02</ns0:t>
        </ns0:is>
      </ns0:c>
      <ns0:c r="B30" s="8" t="inlineStr">
        <ns0:is>
          <ns0:t>Chat</ns0:t>
        </ns0:is>
      </ns0:c>
      <ns0:c r="C30" s="8" t="inlineStr">
        <ns0:is>
          <ns0:t>QR + embeddable snippet</ns0:t>
        </ns0:is>
      </ns0:c>
      <ns0:c r="D30" s="8" t="inlineStr">
        <ns0:is>
          <ns0:t>Generated QR per property; one-line iframe/script snippet; logo + colour theming only.</ns0:t>
        </ns0:is>
      </ns0:c>
      <ns0:c r="E30" s="8" t="n">
        <ns0:v>0.5</ns0:v>
      </ns0:c>
      <ns0:c r="F30" s="8" t="inlineStr">
        <ns0:is>
          <ns0:t>P1</ns0:t>
        </ns0:is>
      </ns0:c>
      <ns0:c r="G30" s="8" t="inlineStr">
        <ns0:is>
          <ns0:t>S3</ns0:t>
        </ns0:is>
      </ns0:c>
      <ns0:c r="H30" s="8" t="inlineStr">
        <ns0:is>
          <ns0:t>QR scans to the right property chat on a real phone</ns0:t>
        </ns0:is>
      </ns0:c>
      <ns0:c r="I30" s="8" t="inlineStr">
        <ns0:is>
          <ns0:t>Not started</ns0:t>
        </ns0:is>
      </ns0:c>
    </ns0:row>
    <ns0:row r="31" ht="44" customHeight="1">
      <ns0:c r="A31" s="9" t="inlineStr">
        <ns0:is>
          <ns0:t>S3-03</ns0:t>
        </ns0:is>
      </ns0:c>
      <ns0:c r="B31" s="9" t="inlineStr">
        <ns0:is>
          <ns0:t>Chat</ns0:t>
        </ns0:is>
      </ns0:c>
      <ns0:c r="C31" s="9" t="inlineStr">
        <ns0:is>
          <ns0:t>Conversation state machine</ns0:t>
        </ns0:is>
      </ns0:c>
      <ns0:c r="D31" s="9" t="inlineStr">
        <ns0:is>
          <ns0:t>ai_active → needs_staff → staff_active → resolved, with guest reopen.</ns0:t>
        </ns0:is>
      </ns0:c>
      <ns0:c r="E31" s="9" t="n">
        <ns0:v>1.5</ns0:v>
      </ns0:c>
      <ns0:c r="F31" s="9" t="inlineStr">
        <ns0:is>
          <ns0:t>P0</ns0:t>
        </ns0:is>
      </ns0:c>
      <ns0:c r="G31" s="9" t="inlineStr">
        <ns0:is>
          <ns0:t>S3</ns0:t>
        </ns0:is>
      </ns0:c>
      <ns0:c r="H31" s="9" t="inlineStr">
        <ns0:is>
          <ns0:t>Illegal transitions are impossible at the DB level</ns0:t>
        </ns0:is>
      </ns0:c>
      <ns0:c r="I31" s="9" t="inlineStr">
        <ns0:is>
          <ns0:t>Not started</ns0:t>
        </ns0:is>
      </ns0:c>
    </ns0:row>
    <ns0:row r="32" ht="44" customHeight="1">
      <ns0:c r="A32" s="8" t="inlineStr">
        <ns0:is>
          <ns0:t>S3-04</ns0:t>
        </ns0:is>
      </ns0:c>
      <ns0:c r="B32" s="8" t="inlineStr">
        <ns0:is>
          <ns0:t>Chat</ns0:t>
        </ns0:is>
      </ns0:c>
      <ns0:c r="C32" s="8" t="inlineStr">
        <ns0:is>
          <ns0:t>AI disclosure + 'talk to a person'</ns0:t>
        </ns0:is>
      </ns0:c>
      <ns0:c r="D32" s="8" t="inlineStr">
        <ns0:is>
          <ns0:t>Persistent, obvious, translated. Disclosure on first message, not buried.</ns0:t>
        </ns0:is>
      </ns0:c>
      <ns0:c r="E32" s="8" t="n">
        <ns0:v>0.5</ns0:v>
      </ns0:c>
      <ns0:c r="F32" s="8" t="inlineStr">
        <ns0:is>
          <ns0:t>P0</ns0:t>
        </ns0:is>
      </ns0:c>
      <ns0:c r="G32" s="8" t="inlineStr">
        <ns0:is>
          <ns0:t>S3</ns0:t>
        </ns0:is>
      </ns0:c>
      <ns0:c r="H32" s="8" t="inlineStr">
        <ns0:is>
          <ns0:t>A guest can reach a human in one tap from any state</ns0:t>
        </ns0:is>
      </ns0:c>
      <ns0:c r="I32" s="8" t="inlineStr">
        <ns0:is>
          <ns0:t>Not started</ns0:t>
        </ns0:is>
      </ns0:c>
    </ns0:row>
    <ns0:row r="33" ht="44" customHeight="1">
      <ns0:c r="A33" s="9" t="inlineStr">
        <ns0:is>
          <ns0:t>S3-05</ns0:t>
        </ns0:is>
      </ns0:c>
      <ns0:c r="B33" s="9" t="inlineStr">
        <ns0:is>
          <ns0:t>Chat</ns0:t>
        </ns0:is>
      </ns0:c>
      <ns0:c r="C33" s="9" t="inlineStr">
        <ns0:is>
          <ns0:t>Request capture + honest acknowledgement</ns0:t>
        </ns0:is>
      </ns0:c>
      <ns0:c r="D33" s="9" t="inlineStr">
        <ns0:is>
          <ns0:t>'I've sent your request to the team' — never 'on the way'. Creates a service_request.</ns0:t>
        </ns0:is>
      </ns0:c>
      <ns0:c r="E33" s="9" t="n">
        <ns0:v>1</ns0:v>
      </ns0:c>
      <ns0:c r="F33" s="9" t="inlineStr">
        <ns0:is>
          <ns0:t>P0</ns0:t>
        </ns0:is>
      </ns0:c>
      <ns0:c r="G33" s="9" t="inlineStr">
        <ns0:is>
          <ns0:t>S3</ns0:t>
        </ns0:is>
      </ns0:c>
      <ns0:c r="H33" s="9" t="inlineStr">
        <ns0:is>
          <ns0:t>No code path can claim a request is fulfilled</ns0:t>
        </ns0:is>
      </ns0:c>
      <ns0:c r="I33" s="9" t="inlineStr">
        <ns0:is>
          <ns0:t>Not started</ns0:t>
        </ns0:is>
      </ns0:c>
    </ns0:row>
    <ns0:row r="34" ht="44" customHeight="1">
      <ns0:c r="A34" s="8" t="inlineStr">
        <ns0:is>
          <ns0:t>S3-06</ns0:t>
        </ns0:is>
      </ns0:c>
      <ns0:c r="B34" s="8" t="inlineStr">
        <ns0:is>
          <ns0:t>Chat</ns0:t>
        </ns0:is>
      </ns0:c>
      <ns0:c r="C34" s="8" t="inlineStr">
        <ns0:is>
          <ns0:t>Abuse + cost protection</ns0:t>
        </ns0:is>
      </ns0:c>
      <ns0:c r="D34" s="8" t="inlineStr">
        <ns0:is>
          <ns0:t>Turnstile on first message, per-IP/per-conversation/per-property rate limits, daily AI spend cap with graceful degradation.</ns0:t>
        </ns0:is>
      </ns0:c>
      <ns0:c r="E34" s="8" t="n">
        <ns0:v>1</ns0:v>
      </ns0:c>
      <ns0:c r="F34" s="8" t="inlineStr">
        <ns0:is>
          <ns0:t>P0</ns0:t>
        </ns0:is>
      </ns0:c>
      <ns0:c r="G34" s="8" t="inlineStr">
        <ns0:is>
          <ns0:t>S3</ns0:t>
        </ns0:is>
      </ns0:c>
      <ns0:c r="H34" s="8" t="inlineStr">
        <ns0:is>
          <ns0:t>Cap trip degrades to 'a team member will reply' without an error</ns0:t>
        </ns0:is>
      </ns0:c>
      <ns0:c r="I34" s="8" t="inlineStr">
        <ns0:is>
          <ns0:t>Not started</ns0:t>
        </ns0:is>
      </ns0:c>
    </ns0:row>
    <ns0:row r="35" ht="44" customHeight="1">
      <ns0:c r="A35" s="9" t="inlineStr">
        <ns0:is>
          <ns0:t>S3-07</ns0:t>
        </ns0:is>
      </ns0:c>
      <ns0:c r="B35" s="9" t="inlineStr">
        <ns0:is>
          <ns0:t>Chat</ns0:t>
        </ns0:is>
      </ns0:c>
      <ns0:c r="C35" s="9" t="inlineStr">
        <ns0:is>
          <ns0:t>Outage fallback</ns0:t>
        </ns0:is>
      </ns0:c>
      <ns0:c r="D35" s="9" t="inlineStr">
        <ns0:is>
          <ns0:t>If AI or provider is down, guest is told plainly and a request/ticket is still captured.</ns0:t>
        </ns0:is>
      </ns0:c>
      <ns0:c r="E35" s="9" t="n">
        <ns0:v>0.5</ns0:v>
      </ns0:c>
      <ns0:c r="F35" s="9" t="inlineStr">
        <ns0:is>
          <ns0:t>P0</ns0:t>
        </ns0:is>
      </ns0:c>
      <ns0:c r="G35" s="9" t="inlineStr">
        <ns0:is>
          <ns0:t>S3</ns0:t>
        </ns0:is>
      </ns0:c>
      <ns0:c r="H35" s="9" t="inlineStr">
        <ns0:is>
          <ns0:t>Kill the AI service mid-conversation; guest still gets an honest message</ns0:t>
        </ns0:is>
      </ns0:c>
      <ns0:c r="I35" s="9" t="inlineStr">
        <ns0:is>
          <ns0:t>Not started</ns0:t>
        </ns0:is>
      </ns0:c>
    </ns0:row>
    <ns0:row r="36" ht="44" customHeight="1">
      <ns0:c r="A36" s="8" t="inlineStr">
        <ns0:is>
          <ns0:t>S4-01</ns0:t>
        </ns0:is>
      </ns0:c>
      <ns0:c r="B36" s="8" t="inlineStr">
        <ns0:is>
          <ns0:t>Inbox</ns0:t>
        </ns0:is>
      </ns0:c>
      <ns0:c r="C36" s="8" t="inlineStr">
        <ns0:is>
          <ns0:t>Phone-first shared inbox</ns0:t>
        </ns0:is>
      </ns0:c>
      <ns0:c r="D36" s="8" t="inlineStr">
        <ns0:is>
          <ns0:t>Responsive/PWA. Filters: needs attention, mine, unresolved, unassigned.</ns0:t>
        </ns0:is>
      </ns0:c>
      <ns0:c r="E36" s="8" t="n">
        <ns0:v>2</ns0:v>
      </ns0:c>
      <ns0:c r="F36" s="8" t="inlineStr">
        <ns0:is>
          <ns0:t>P0</ns0:t>
        </ns0:is>
      </ns0:c>
      <ns0:c r="G36" s="8" t="inlineStr">
        <ns0:is>
          <ns0:t>S4</ns0:t>
        </ns0:is>
      </ns0:c>
      <ns0:c r="H36" s="8" t="inlineStr">
        <ns0:is>
          <ns0:t>An agent can triage a queue on a phone in under 60 seconds</ns0:t>
        </ns0:is>
      </ns0:c>
      <ns0:c r="I36" s="8" t="inlineStr">
        <ns0:is>
          <ns0:t>Not started</ns0:t>
        </ns0:is>
      </ns0:c>
    </ns0:row>
    <ns0:row r="37" ht="44" customHeight="1">
      <ns0:c r="A37" s="9" t="inlineStr">
        <ns0:is>
          <ns0:t>S4-02</ns0:t>
        </ns0:is>
      </ns0:c>
      <ns0:c r="B37" s="9" t="inlineStr">
        <ns0:is>
          <ns0:t>Inbox</ns0:t>
        </ns0:is>
      </ns0:c>
      <ns0:c r="C37" s="9" t="inlineStr">
        <ns0:is>
          <ns0:t>Conversation detail with AI sources</ns0:t>
        </ns0:is>
      </ns0:c>
      <ns0:c r="D37" s="9" t="inlineStr">
        <ns0:is>
          <ns0:t>Show the cited article version behind every AI answer, verbatim.</ns0:t>
        </ns0:is>
      </ns0:c>
      <ns0:c r="E37" s="9" t="n">
        <ns0:v>1</ns0:v>
      </ns0:c>
      <ns0:c r="F37" s="9" t="inlineStr">
        <ns0:is>
          <ns0:t>P0</ns0:t>
        </ns0:is>
      </ns0:c>
      <ns0:c r="G37" s="9" t="inlineStr">
        <ns0:is>
          <ns0:t>S4</ns0:t>
        </ns0:is>
      </ns0:c>
      <ns0:c r="H37" s="9" t="inlineStr">
        <ns0:is>
          <ns0:t>Staff can see exactly what the model read</ns0:t>
        </ns0:is>
      </ns0:c>
      <ns0:c r="I37" s="9" t="inlineStr">
        <ns0:is>
          <ns0:t>Not started</ns0:t>
        </ns0:is>
      </ns0:c>
    </ns0:row>
    <ns0:row r="38" ht="44" customHeight="1">
      <ns0:c r="A38" s="8" t="inlineStr">
        <ns0:is>
          <ns0:t>S4-03</ns0:t>
        </ns0:is>
      </ns0:c>
      <ns0:c r="B38" s="8" t="inlineStr">
        <ns0:is>
          <ns0:t>Inbox</ns0:t>
        </ns0:is>
      </ns0:c>
      <ns0:c r="C38" s="8" t="inlineStr">
        <ns0:is>
          <ns0:t>Reply / take over / assign / resolve</ns0:t>
        </ns0:is>
      </ns0:c>
      <ns0:c r="D38" s="8" t="inlineStr">
        <ns0:is>
          <ns0:t>Taking over stops AI guest-facing replies immediately. AI may still draft privately.</ns0:t>
        </ns0:is>
      </ns0:c>
      <ns0:c r="E38" s="8" t="n">
        <ns0:v>1.5</ns0:v>
      </ns0:c>
      <ns0:c r="F38" s="8" t="inlineStr">
        <ns0:is>
          <ns0:t>P0</ns0:t>
        </ns0:is>
      </ns0:c>
      <ns0:c r="G38" s="8" t="inlineStr">
        <ns0:is>
          <ns0:t>S4</ns0:t>
        </ns0:is>
      </ns0:c>
      <ns0:c r="H38" s="8" t="inlineStr">
        <ns0:is>
          <ns0:t>Takeover is atomic; no race where AI replies after takeover</ns0:t>
        </ns0:is>
      </ns0:c>
      <ns0:c r="I38" s="8" t="inlineStr">
        <ns0:is>
          <ns0:t>Not started</ns0:t>
        </ns0:is>
      </ns0:c>
    </ns0:row>
    <ns0:row r="39" ht="44" customHeight="1">
      <ns0:c r="A39" s="9" t="inlineStr">
        <ns0:is>
          <ns0:t>S4-04</ns0:t>
        </ns0:is>
      </ns0:c>
      <ns0:c r="B39" s="9" t="inlineStr">
        <ns0:is>
          <ns0:t>Inbox</ns0:t>
        </ns0:is>
      </ns0:c>
      <ns0:c r="C39" s="9" t="inlineStr">
        <ns0:is>
          <ns0:t>AI operating modes</ns0:t>
        </ns0:is>
      </ns0:c>
      <ns0:c r="D39" s="9" t="inlineStr">
        <ns0:is>
          <ns0:t>Auto / Draft / Human-only / After-hours, per property, feature-flagged.</ns0:t>
        </ns0:is>
      </ns0:c>
      <ns0:c r="E39" s="9" t="n">
        <ns0:v>1</ns0:v>
      </ns0:c>
      <ns0:c r="F39" s="9" t="inlineStr">
        <ns0:is>
          <ns0:t>P0</ns0:t>
        </ns0:is>
      </ns0:c>
      <ns0:c r="G39" s="9" t="inlineStr">
        <ns0:is>
          <ns0:t>S4</ns0:t>
        </ns0:is>
      </ns0:c>
      <ns0:c r="H39" s="9" t="inlineStr">
        <ns0:is>
          <ns0:t>Switching mode takes effect on the next message, no deploy</ns0:t>
        </ns0:is>
      </ns0:c>
      <ns0:c r="I39" s="9" t="inlineStr">
        <ns0:is>
          <ns0:t>Not started</ns0:t>
        </ns0:is>
      </ns0:c>
    </ns0:row>
    <ns0:row r="40" ht="44" customHeight="1">
      <ns0:c r="A40" s="8" t="inlineStr">
        <ns0:is>
          <ns0:t>S4-05</ns0:t>
        </ns0:is>
      </ns0:c>
      <ns0:c r="B40" s="8" t="inlineStr">
        <ns0:is>
          <ns0:t>Inbox</ns0:t>
        </ns0:is>
      </ns0:c>
      <ns0:c r="C40" s="8" t="inlineStr">
        <ns0:is>
          <ns0:t>Knowledge-gap queue</ns0:t>
        </ns0:is>
      </ns0:c>
      <ns0:c r="D40" s="8" t="inlineStr">
        <ns0:is>
          <ns0:t>Unanswered + flagged questions with verbatim text, language and property. Inline write-an-article deferred.</ns0:t>
        </ns0:is>
      </ns0:c>
      <ns0:c r="E40" s="8" t="n">
        <ns0:v>0.5</ns0:v>
      </ns0:c>
      <ns0:c r="F40" s="8" t="inlineStr">
        <ns0:is>
          <ns0:t>P0</ns0:t>
        </ns0:is>
      </ns0:c>
      <ns0:c r="G40" s="8" t="inlineStr">
        <ns0:is>
          <ns0:t>S4</ns0:t>
        </ns0:is>
      </ns0:c>
      <ns0:c r="H40" s="8" t="inlineStr">
        <ns0:is>
          <ns0:t>Every no_answer lands in the queue automatically</ns0:t>
        </ns0:is>
      </ns0:c>
      <ns0:c r="I40" s="8" t="inlineStr">
        <ns0:is>
          <ns0:t>Not started</ns0:t>
        </ns0:is>
      </ns0:c>
    </ns0:row>
    <ns0:row r="41" ht="44" customHeight="1">
      <ns0:c r="A41" s="9" t="inlineStr">
        <ns0:is>
          <ns0:t>S4-06</ns0:t>
        </ns0:is>
      </ns0:c>
      <ns0:c r="B41" s="9" t="inlineStr">
        <ns0:is>
          <ns0:t>Inbox</ns0:t>
        </ns0:is>
      </ns0:c>
      <ns0:c r="C41" s="9" t="inlineStr">
        <ns0:is>
          <ns0:t>One-click 'wrong or outdated'</ns0:t>
        </ns0:is>
      </ns0:c>
      <ns0:c r="D41" s="9" t="inlineStr">
        <ns0:is>
          <ns0:t>On any AI answer → creates/updates a knowledge gap with context. Highest-value feedback loop in the product.</ns0:t>
        </ns0:is>
      </ns0:c>
      <ns0:c r="E41" s="9" t="n">
        <ns0:v>0.5</ns0:v>
      </ns0:c>
      <ns0:c r="F41" s="9" t="inlineStr">
        <ns0:is>
          <ns0:t>P0</ns0:t>
        </ns0:is>
      </ns0:c>
      <ns0:c r="G41" s="9" t="inlineStr">
        <ns0:is>
          <ns0:t>S4</ns0:t>
        </ns0:is>
      </ns0:c>
      <ns0:c r="H41" s="9" t="inlineStr">
        <ns0:is>
          <ns0:t>A flag is attributable to an ai_run and visible to the manager</ns0:t>
        </ns0:is>
      </ns0:c>
      <ns0:c r="I41" s="9" t="inlineStr">
        <ns0:is>
          <ns0:t>Not started</ns0:t>
        </ns0:is>
      </ns0:c>
    </ns0:row>
    <ns0:row r="42" ht="44" customHeight="1">
      <ns0:c r="A42" s="8" t="inlineStr">
        <ns0:is>
          <ns0:t>S4-07</ns0:t>
        </ns0:is>
      </ns0:c>
      <ns0:c r="B42" s="8" t="inlineStr">
        <ns0:is>
          <ns0:t>Inbox</ns0:t>
        </ns0:is>
      </ns0:c>
      <ns0:c r="C42" s="8" t="inlineStr">
        <ns0:is>
          <ns0:t>Request lifecycle</ns0:t>
        </ns0:is>
      </ns0:c>
      <ns0:c r="D42" s="8" t="inlineStr">
        <ns0:is>
          <ns0:t>Status, owner, timestamps, internal notes, priority, reopen.</ns0:t>
        </ns0:is>
      </ns0:c>
      <ns0:c r="E42" s="8" t="n">
        <ns0:v>2</ns0:v>
      </ns0:c>
      <ns0:c r="F42" s="8" t="inlineStr">
        <ns0:is>
          <ns0:t>P0</ns0:t>
        </ns0:is>
      </ns0:c>
      <ns0:c r="G42" s="8" t="inlineStr">
        <ns0:is>
          <ns0:t>S4</ns0:t>
        </ns0:is>
      </ns0:c>
      <ns0:c r="H42" s="8" t="inlineStr">
        <ns0:is>
          <ns0:t>request_acknowledged timestamp is set by a real staff action</ns0:t>
        </ns0:is>
      </ns0:c>
      <ns0:c r="I42" s="8" t="inlineStr">
        <ns0:is>
          <ns0:t>Not started</ns0:t>
        </ns0:is>
      </ns0:c>
    </ns0:row>
    <ns0:row r="43" ht="44" customHeight="1">
      <ns0:c r="A43" s="9" t="inlineStr">
        <ns0:is>
          <ns0:t>S5-01</ns0:t>
        </ns0:is>
      </ns0:c>
      <ns0:c r="B43" s="9" t="inlineStr">
        <ns0:is>
          <ns0:t>Ops</ns0:t>
        </ns0:is>
      </ns0:c>
      <ns0:c r="C43" s="9" t="inlineStr">
        <ns0:is>
          <ns0:t>Email notifications</ns0:t>
        </ns0:is>
      </ns0:c>
      <ns0:c r="D43" s="9" t="inlineStr">
        <ns0:is>
          <ns0:t>New request, new handoff, unassigned for &gt; 15 min. On by default.</ns0:t>
        </ns0:is>
      </ns0:c>
      <ns0:c r="E43" s="9" t="n">
        <ns0:v>1</ns0:v>
      </ns0:c>
      <ns0:c r="F43" s="9" t="inlineStr">
        <ns0:is>
          <ns0:t>P0</ns0:t>
        </ns0:is>
      </ns0:c>
      <ns0:c r="G43" s="9" t="inlineStr">
        <ns0:is>
          <ns0:t>S5</ns0:t>
        </ns0:is>
      </ns0:c>
      <ns0:c r="H43" s="9" t="inlineStr">
        <ns0:is>
          <ns0:t>A request with no staff view still reaches a human by email</ns0:t>
        </ns0:is>
      </ns0:c>
      <ns0:c r="I43" s="9" t="inlineStr">
        <ns0:is>
          <ns0:t>Not started</ns0:t>
        </ns0:is>
      </ns0:c>
    </ns0:row>
    <ns0:row r="44" ht="44" customHeight="1">
      <ns0:c r="A44" s="8" t="inlineStr">
        <ns0:is>
          <ns0:t>S5-02</ns0:t>
        </ns0:is>
      </ns0:c>
      <ns0:c r="B44" s="8" t="inlineStr">
        <ns0:is>
          <ns0:t>Ops</ns0:t>
        </ns0:is>
      </ns0:c>
      <ns0:c r="C44" s="8" t="inlineStr">
        <ns0:is>
          <ns0:t>Outbound webhook per property</ns0:t>
        </ns0:is>
      </ns0:c>
      <ns0:c r="D44" s="8" t="inlineStr">
        <ns0:is>
          <ns0:t>Events to Teams/Slack/hotel ops tool. Signed, retried. Cheap, and it answers the integration question honestly.</ns0:t>
        </ns0:is>
      </ns0:c>
      <ns0:c r="E44" s="8" t="n">
        <ns0:v>1</ns0:v>
      </ns0:c>
      <ns0:c r="F44" s="8" t="inlineStr">
        <ns0:is>
          <ns0:t>P1</ns0:t>
        </ns0:is>
      </ns0:c>
      <ns0:c r="G44" s="8" t="inlineStr">
        <ns0:is>
          <ns0:t>S5</ns0:t>
        </ns0:is>
      </ns0:c>
      <ns0:c r="H44" s="8" t="inlineStr">
        <ns0:is>
          <ns0:t>A webhook is delivered, retried on failure, and logged</ns0:t>
        </ns0:is>
      </ns0:c>
      <ns0:c r="I44" s="8" t="inlineStr">
        <ns0:is>
          <ns0:t>Deferred to 1.5</ns0:t>
        </ns0:is>
      </ns0:c>
    </ns0:row>
    <ns0:row r="45" ht="44" customHeight="1">
      <ns0:c r="A45" s="9" t="inlineStr">
        <ns0:is>
          <ns0:t>S5-03</ns0:t>
        </ns0:is>
      </ns0:c>
      <ns0:c r="B45" s="9" t="inlineStr">
        <ns0:is>
          <ns0:t>Analytics</ns0:t>
        </ns0:is>
      </ns0:c>
      <ns0:c r="C45" s="9" t="inlineStr">
        <ns0:is>
          <ns0:t>Event emission across product</ns0:t>
        </ns0:is>
      </ns0:c>
      <ns0:c r="D45" s="9" t="inlineStr">
        <ns0:is>
          <ns0:t>All 18 taxonomy events wired with the required context fields.</ns0:t>
        </ns0:is>
      </ns0:c>
      <ns0:c r="E45" s="9" t="n">
        <ns0:v>1.5</ns0:v>
      </ns0:c>
      <ns0:c r="F45" s="9" t="inlineStr">
        <ns0:is>
          <ns0:t>P0</ns0:t>
        </ns0:is>
      </ns0:c>
      <ns0:c r="G45" s="9" t="inlineStr">
        <ns0:is>
          <ns0:t>S5</ns0:t>
        </ns0:is>
      </ns0:c>
      <ns0:c r="H45" s="9" t="inlineStr">
        <ns0:is>
          <ns0:t>Dashboard numbers reconcile exactly to raw events</ns0:t>
        </ns0:is>
      </ns0:c>
      <ns0:c r="I45" s="9" t="inlineStr">
        <ns0:is>
          <ns0:t>Not started</ns0:t>
        </ns0:is>
      </ns0:c>
    </ns0:row>
    <ns0:row r="46" ht="44" customHeight="1">
      <ns0:c r="A46" s="8" t="inlineStr">
        <ns0:is>
          <ns0:t>S5-04</ns0:t>
        </ns0:is>
      </ns0:c>
      <ns0:c r="B46" s="8" t="inlineStr">
        <ns0:is>
          <ns0:t>Analytics</ns0:t>
        </ns0:is>
      </ns0:c>
      <ns0:c r="C46" s="8" t="inlineStr">
        <ns0:is>
          <ns0:t>Daily rollups</ns0:t>
        </ns0:is>
      </ns0:c>
      <ns0:c r="D46" s="8" t="inlineStr">
        <ns0:is>
          <ns0:t>Nightly SQL job over events. No second pipeline, no vendor.</ns0:t>
        </ns0:is>
      </ns0:c>
      <ns0:c r="E46" s="8" t="n">
        <ns0:v>1</ns0:v>
      </ns0:c>
      <ns0:c r="F46" s="8" t="inlineStr">
        <ns0:is>
          <ns0:t>P0</ns0:t>
        </ns0:is>
      </ns0:c>
      <ns0:c r="G46" s="8" t="inlineStr">
        <ns0:is>
          <ns0:t>S5</ns0:t>
        </ns0:is>
      </ns0:c>
      <ns0:c r="H46" s="8" t="inlineStr">
        <ns0:is>
          <ns0:t>Rollup job is idempotent and re-runnable for a historical date</ns0:t>
        </ns0:is>
      </ns0:c>
      <ns0:c r="I46" s="8" t="inlineStr">
        <ns0:is>
          <ns0:t>Not started</ns0:t>
        </ns0:is>
      </ns0:c>
    </ns0:row>
    <ns0:row r="47" ht="44" customHeight="1">
      <ns0:c r="A47" s="9" t="inlineStr">
        <ns0:is>
          <ns0:t>S5-05</ns0:t>
        </ns0:is>
      </ns0:c>
      <ns0:c r="B47" s="9" t="inlineStr">
        <ns0:is>
          <ns0:t>Analytics</ns0:t>
        </ns0:is>
      </ns0:c>
      <ns0:c r="C47" s="9" t="inlineStr">
        <ns0:is>
          <ns0:t>Management dashboard</ns0:t>
        </ns0:is>
      </ns0:c>
      <ns0:c r="D47" s="9" t="inlineStr">
        <ns0:is>
          <ns0:t>Top questions/topics by property and language, unanswered, request volume + resolution time, handoff rate. Hourly-demand heatmap deferred.</ns0:t>
        </ns0:is>
      </ns0:c>
      <ns0:c r="E47" s="9" t="n">
        <ns0:v>2</ns0:v>
      </ns0:c>
      <ns0:c r="F47" s="9" t="inlineStr">
        <ns0:is>
          <ns0:t>P0</ns0:t>
        </ns0:is>
      </ns0:c>
      <ns0:c r="G47" s="9" t="inlineStr">
        <ns0:is>
          <ns0:t>S5</ns0:t>
        </ns0:is>
      </ns0:c>
      <ns0:c r="H47" s="9" t="inlineStr">
        <ns0:is>
          <ns0:t>Every tile is traceable to a query that a manager can explain</ns0:t>
        </ns0:is>
      </ns0:c>
      <ns0:c r="I47" s="9" t="inlineStr">
        <ns0:is>
          <ns0:t>Not started</ns0:t>
        </ns0:is>
      </ns0:c>
    </ns0:row>
    <ns0:row r="48" ht="44" customHeight="1">
      <ns0:c r="A48" s="8" t="inlineStr">
        <ns0:is>
          <ns0:t>S5-06</ns0:t>
        </ns0:is>
      </ns0:c>
      <ns0:c r="B48" s="8" t="inlineStr">
        <ns0:is>
          <ns0:t>Analytics</ns0:t>
        </ns0:is>
      </ns0:c>
      <ns0:c r="C48" s="8" t="inlineStr">
        <ns0:is>
          <ns0:t>Opportunity click tracking</ns0:t>
        </ns0:is>
      </ns0:c>
      <ns0:c r="D48" s="8" t="inlineStr">
        <ns0:is>
          <ns0:t>Booking / dining / spa link clicks. Labelled 'opportunities', never revenue.</ns0:t>
        </ns0:is>
      </ns0:c>
      <ns0:c r="E48" s="8" t="n">
        <ns0:v>0.5</ns0:v>
      </ns0:c>
      <ns0:c r="F48" s="8" t="inlineStr">
        <ns0:is>
          <ns0:t>P1</ns0:t>
        </ns0:is>
      </ns0:c>
      <ns0:c r="G48" s="8" t="inlineStr">
        <ns0:is>
          <ns0:t>S5</ns0:t>
        </ns0:is>
      </ns0:c>
      <ns0:c r="H48" s="8" t="inlineStr">
        <ns0:is>
          <ns0:t>No UI element or email claims revenue attribution</ns0:t>
        </ns0:is>
      </ns0:c>
      <ns0:c r="I48" s="8" t="inlineStr">
        <ns0:is>
          <ns0:t>Deferred to 1.5</ns0:t>
        </ns0:is>
      </ns0:c>
    </ns0:row>
    <ns0:row r="49" ht="44" customHeight="1">
      <ns0:c r="A49" s="9" t="inlineStr">
        <ns0:is>
          <ns0:t>S6-01</ns0:t>
        </ns0:is>
      </ns0:c>
      <ns0:c r="B49" s="9" t="inlineStr">
        <ns0:is>
          <ns0:t>Hardening</ns0:t>
        </ns0:is>
      </ns0:c>
      <ns0:c r="C49" s="9" t="inlineStr">
        <ns0:is>
          <ns0:t>Transactional outbox + worker + DLQ</ns0:t>
        </ns0:is>
      </ns0:c>
      <ns0:c r="D49" s="9" t="inlineStr">
        <ns0:is>
          <ns0:t>Send outside the request handler. Exponential backoff. Failures visible.</ns0:t>
        </ns0:is>
      </ns0:c>
      <ns0:c r="E49" s="9" t="n">
        <ns0:v>1.5</ns0:v>
      </ns0:c>
      <ns0:c r="F49" s="9" t="inlineStr">
        <ns0:is>
          <ns0:t>P0</ns0:t>
        </ns0:is>
      </ns0:c>
      <ns0:c r="G49" s="9" t="inlineStr">
        <ns0:is>
          <ns0:t>S6</ns0:t>
        </ns0:is>
      </ns0:c>
      <ns0:c r="H49" s="9" t="inlineStr">
        <ns0:is>
          <ns0:t>Provider outage causes delayed sends, not lost messages</ns0:t>
        </ns0:is>
      </ns0:c>
      <ns0:c r="I49" s="9" t="inlineStr">
        <ns0:is>
          <ns0:t>Not started</ns0:t>
        </ns0:is>
      </ns0:c>
    </ns0:row>
    <ns0:row r="50" ht="44" customHeight="1">
      <ns0:c r="A50" s="8" t="inlineStr">
        <ns0:is>
          <ns0:t>S6-02</ns0:t>
        </ns0:is>
      </ns0:c>
      <ns0:c r="B50" s="8" t="inlineStr">
        <ns0:is>
          <ns0:t>Hardening</ns0:t>
        </ns0:is>
      </ns0:c>
      <ns0:c r="C50" s="8" t="inlineStr">
        <ns0:is>
          <ns0:t>Idempotency + webhook dedupe</ns0:t>
        </ns0:is>
      </ns0:c>
      <ns0:c r="D50" s="8" t="inlineStr">
        <ns0:is>
          <ns0:t>Unique (channel_connection_id, channel_message_id). Process async, ack fast.</ns0:t>
        </ns0:is>
      </ns0:c>
      <ns0:c r="E50" s="8" t="n">
        <ns0:v>1</ns0:v>
      </ns0:c>
      <ns0:c r="F50" s="8" t="inlineStr">
        <ns0:is>
          <ns0:t>P0</ns0:t>
        </ns0:is>
      </ns0:c>
      <ns0:c r="G50" s="8" t="inlineStr">
        <ns0:is>
          <ns0:t>S6</ns0:t>
        </ns0:is>
      </ns0:c>
      <ns0:c r="H50" s="8" t="inlineStr">
        <ns0:is>
          <ns0:t>Replaying a webhook 10x produces 1 message</ns0:t>
        </ns0:is>
      </ns0:c>
      <ns0:c r="I50" s="8" t="inlineStr">
        <ns0:is>
          <ns0:t>Not started</ns0:t>
        </ns0:is>
      </ns0:c>
    </ns0:row>
    <ns0:row r="51" ht="44" customHeight="1">
      <ns0:c r="A51" s="9" t="inlineStr">
        <ns0:is>
          <ns0:t>S6-03</ns0:t>
        </ns0:is>
      </ns0:c>
      <ns0:c r="B51" s="9" t="inlineStr">
        <ns0:is>
          <ns0:t>Hardening</ns0:t>
        </ns0:is>
      </ns0:c>
      <ns0:c r="C51" s="9" t="inlineStr">
        <ns0:is>
          <ns0:t>PII redaction + log hygiene</ns0:t>
        </ns0:is>
      </ns0:c>
      <ns0:c r="D51" s="9" t="inlineStr">
        <ns0:is>
          <ns0:t>Mask card-like (Luhn), long digit runs, emails, phones. No full message bodies to third-party observability.</ns0:t>
        </ns0:is>
      </ns0:c>
      <ns0:c r="E51" s="9" t="n">
        <ns0:v>1</ns0:v>
      </ns0:c>
      <ns0:c r="F51" s="9" t="inlineStr">
        <ns0:is>
          <ns0:t>P0</ns0:t>
        </ns0:is>
      </ns0:c>
      <ns0:c r="G51" s="9" t="inlineStr">
        <ns0:is>
          <ns0:t>S6</ns0:t>
        </ns0:is>
      </ns0:c>
      <ns0:c r="H51" s="9" t="inlineStr">
        <ns0:is>
          <ns0:t>A synthetic card number never appears in logs or the tracker</ns0:t>
        </ns0:is>
      </ns0:c>
      <ns0:c r="I51" s="9" t="inlineStr">
        <ns0:is>
          <ns0:t>Not started</ns0:t>
        </ns0:is>
      </ns0:c>
    </ns0:row>
    <ns0:row r="52" ht="44" customHeight="1">
      <ns0:c r="A52" s="8" t="inlineStr">
        <ns0:is>
          <ns0:t>S6-04</ns0:t>
        </ns0:is>
      </ns0:c>
      <ns0:c r="B52" s="8" t="inlineStr">
        <ns0:is>
          <ns0:t>Hardening</ns0:t>
        </ns0:is>
      </ns0:c>
      <ns0:c r="C52" s="8" t="inlineStr">
        <ns0:is>
          <ns0:t>Observability + alerting</ns0:t>
        </ns0:is>
      </ns0:c>
      <ns0:c r="D52" s="8" t="inlineStr">
        <ns0:is>
          <ns0:t>Webhook failure rate, outbox backlog, LLM error rate, spend cap breaches, p95 latency, eval-regression.</ns0:t>
        </ns0:is>
      </ns0:c>
      <ns0:c r="E52" s="8" t="n">
        <ns0:v>1</ns0:v>
      </ns0:c>
      <ns0:c r="F52" s="8" t="inlineStr">
        <ns0:is>
          <ns0:t>P0</ns0:t>
        </ns0:is>
      </ns0:c>
      <ns0:c r="G52" s="8" t="inlineStr">
        <ns0:is>
          <ns0:t>S6</ns0:t>
        </ns0:is>
      </ns0:c>
      <ns0:c r="H52" s="8" t="inlineStr">
        <ns0:is>
          <ns0:t>Every alert fires once in staging, with a linked runbook step</ns0:t>
        </ns0:is>
      </ns0:c>
      <ns0:c r="I52" s="8" t="inlineStr">
        <ns0:is>
          <ns0:t>Not started</ns0:t>
        </ns0:is>
      </ns0:c>
    </ns0:row>
    <ns0:row r="53" ht="44" customHeight="1">
      <ns0:c r="A53" s="9" t="inlineStr">
        <ns0:is>
          <ns0:t>S6-05</ns0:t>
        </ns0:is>
      </ns0:c>
      <ns0:c r="B53" s="9" t="inlineStr">
        <ns0:is>
          <ns0:t>Hardening</ns0:t>
        </ns0:is>
      </ns0:c>
      <ns0:c r="C53" s="9" t="inlineStr">
        <ns0:is>
          <ns0:t>Runbook + backup restore drill</ns0:t>
        </ns0:is>
      </ns0:c>
      <ns0:c r="D53" s="9" t="inlineStr">
        <ns0:is>
          <ns0:t>LLM down, WhatsApp down, DB failover, duplicate storm, spend-cap trip, deletion request.</ns0:t>
        </ns0:is>
      </ns0:c>
      <ns0:c r="E53" s="9" t="n">
        <ns0:v>1</ns0:v>
      </ns0:c>
      <ns0:c r="F53" s="9" t="inlineStr">
        <ns0:is>
          <ns0:t>P0</ns0:t>
        </ns0:is>
      </ns0:c>
      <ns0:c r="G53" s="9" t="inlineStr">
        <ns0:is>
          <ns0:t>S6</ns0:t>
        </ns0:is>
      </ns0:c>
      <ns0:c r="H53" s="9" t="inlineStr">
        <ns0:is>
          <ns0:t>Restore completed and timed; runbook signed off</ns0:t>
        </ns0:is>
      </ns0:c>
      <ns0:c r="I53" s="9" t="inlineStr">
        <ns0:is>
          <ns0:t>Not started</ns0:t>
        </ns0:is>
      </ns0:c>
    </ns0:row>
    <ns0:row r="54" ht="44" customHeight="1">
      <ns0:c r="A54" s="8" t="inlineStr">
        <ns0:is>
          <ns0:t>S6-06</ns0:t>
        </ns0:is>
      </ns0:c>
      <ns0:c r="B54" s="8" t="inlineStr">
        <ns0:is>
          <ns0:t>Hardening</ns0:t>
        </ns0:is>
      </ns0:c>
      <ns0:c r="C54" s="8" t="inlineStr">
        <ns0:is>
          <ns0:t>Accessibility + ES/EN audit</ns0:t>
        </ns0:is>
      </ns0:c>
      <ns0:c r="D54" s="8" t="inlineStr">
        <ns0:is>
          <ns0:t>Guest chat and staff UI. Reachability on a mid-range Android on hotel wifi.</ns0:t>
        </ns0:is>
      </ns0:c>
      <ns0:c r="E54" s="8" t="n">
        <ns0:v>1</ns0:v>
      </ns0:c>
      <ns0:c r="F54" s="8" t="inlineStr">
        <ns0:is>
          <ns0:t>P1</ns0:t>
        </ns0:is>
      </ns0:c>
      <ns0:c r="G54" s="8" t="inlineStr">
        <ns0:is>
          <ns0:t>S6</ns0:t>
        </ns0:is>
      </ns0:c>
      <ns0:c r="H54" s="8" t="inlineStr">
        <ns0:is>
          <ns0:t>Lighthouse a11y ≥ 90; no untranslated strings</ns0:t>
        </ns0:is>
      </ns0:c>
      <ns0:c r="I54" s="8" t="inlineStr">
        <ns0:is>
          <ns0:t>Not started</ns0:t>
        </ns0:is>
      </ns0:c>
    </ns0:row>
    <ns0:row r="55" ht="44" customHeight="1">
      <ns0:c r="A55" s="9" t="inlineStr">
        <ns0:is>
          <ns0:t>S6-07</ns0:t>
        </ns0:is>
      </ns0:c>
      <ns0:c r="B55" s="9" t="inlineStr">
        <ns0:is>
          <ns0:t>Hardening</ns0:t>
        </ns0:is>
      </ns0:c>
      <ns0:c r="C55" s="9" t="inlineStr">
        <ns0:is>
          <ns0:t>Load test</ns0:t>
        </ns0:is>
      </ns0:c>
      <ns0:c r="D55" s="9" t="inlineStr">
        <ns0:is>
          <ns0:t>300 concurrent guests on one property; 50 staff sessions.</ns0:t>
        </ns0:is>
      </ns0:c>
      <ns0:c r="E55" s="9" t="n">
        <ns0:v>1</ns0:v>
      </ns0:c>
      <ns0:c r="F55" s="9" t="inlineStr">
        <ns0:is>
          <ns0:t>P1</ns0:t>
        </ns0:is>
      </ns0:c>
      <ns0:c r="G55" s="9" t="inlineStr">
        <ns0:is>
          <ns0:t>S6</ns0:t>
        </ns0:is>
      </ns0:c>
      <ns0:c r="H55" s="9" t="inlineStr">
        <ns0:is>
          <ns0:t>p95 first token ≤ 3.5s at target load</ns0:t>
        </ns0:is>
      </ns0:c>
      <ns0:c r="I55" s="9" t="inlineStr">
        <ns0:is>
          <ns0:t>Not started</ns0:t>
        </ns0:is>
      </ns0:c>
    </ns0:row>
    <ns0:row r="56" ht="44" customHeight="1">
      <ns0:c r="A56" s="8" t="inlineStr">
        <ns0:is>
          <ns0:t>S6-08</ns0:t>
        </ns0:is>
      </ns0:c>
      <ns0:c r="B56" s="8" t="inlineStr">
        <ns0:is>
          <ns0:t>Hardening</ns0:t>
        </ns0:is>
      </ns0:c>
      <ns0:c r="C56" s="8" t="inlineStr">
        <ns0:is>
          <ns0:t>Pilot dry run with real content</ns0:t>
        </ns0:is>
      </ns0:c>
      <ns0:c r="D56" s="8" t="inlineStr">
        <ns0:is>
          <ns0:t>Full scripted flow with the hotel's actual staff, on their real content.</ns0:t>
        </ns0:is>
      </ns0:c>
      <ns0:c r="E56" s="8" t="n">
        <ns0:v>1.5</ns0:v>
      </ns0:c>
      <ns0:c r="F56" s="8" t="inlineStr">
        <ns0:is>
          <ns0:t>P0</ns0:t>
        </ns0:is>
      </ns0:c>
      <ns0:c r="G56" s="8" t="inlineStr">
        <ns0:is>
          <ns0:t>S6</ns0:t>
        </ns0:is>
      </ns0:c>
      <ns0:c r="H56" s="8" t="inlineStr">
        <ns0:is>
          <ns0:t>3 hotel staff complete the flow unaided (G3)</ns0:t>
        </ns0:is>
      </ns0:c>
      <ns0:c r="I56" s="8" t="inlineStr">
        <ns0:is>
          <ns0:t>Not started</ns0:t>
        </ns0:is>
      </ns0:c>
    </ns0:row>
    <ns0:row r="57" ht="44" customHeight="1">
      <ns0:c r="A57" s="9" t="inlineStr">
        <ns0:is>
          <ns0:t>WA-01</ns0:t>
        </ns0:is>
      </ns0:c>
      <ns0:c r="B57" s="9" t="inlineStr">
        <ns0:is>
          <ns0:t>WhatsApp</ns0:t>
        </ns0:is>
      </ns0:c>
      <ns0:c r="C57" s="9" t="inlineStr">
        <ns0:is>
          <ns0:t>Payment method on WABA</ns0:t>
        </ns0:is>
      </ns0:c>
      <ns0:c r="D57" s="9" t="inlineStr">
        <ns0:is>
          <ns0:t>Without it, service messages beyond the 1,000 free/month simply do not deliver (since 1 Oct 2026).</ns0:t>
        </ns0:is>
      </ns0:c>
      <ns0:c r="E57" s="9" t="n">
        <ns0:v>0.25</ns0:v>
      </ns0:c>
      <ns0:c r="F57" s="9" t="inlineStr">
        <ns0:is>
          <ns0:t>P0</ns0:t>
        </ns0:is>
      </ns0:c>
      <ns0:c r="G57" s="9" t="inlineStr">
        <ns0:is>
          <ns0:t>W0</ns0:t>
        </ns0:is>
      </ns0:c>
      <ns0:c r="H57" s="9" t="inlineStr">
        <ns0:is>
          <ns0:t>Billing active; spend alert configured</ns0:t>
        </ns0:is>
      </ns0:c>
      <ns0:c r="I57" s="9" t="inlineStr">
        <ns0:is>
          <ns0:t>Not started</ns0:t>
        </ns0:is>
      </ns0:c>
    </ns0:row>
    <ns0:row r="58" ht="44" customHeight="1">
      <ns0:c r="A58" s="8" t="inlineStr">
        <ns0:is>
          <ns0:t>WA-02</ns0:t>
        </ns0:is>
      </ns0:c>
      <ns0:c r="B58" s="8" t="inlineStr">
        <ns0:is>
          <ns0:t>WhatsApp</ns0:t>
        </ns0:is>
      </ns0:c>
      <ns0:c r="C58" s="8" t="inlineStr">
        <ns0:is>
          <ns0:t>Adapter: webhook ingress</ns0:t>
        </ns0:is>
      </ns0:c>
      <ns0:c r="D58" s="8" t="inlineStr">
        <ns0:is>
          <ns0:t>Verify signature, dedupe, normalize to the internal message model, ack &lt; 3s.</ns0:t>
        </ns0:is>
      </ns0:c>
      <ns0:c r="E58" s="8" t="n">
        <ns0:v>1.5</ns0:v>
      </ns0:c>
      <ns0:c r="F58" s="8" t="inlineStr">
        <ns0:is>
          <ns0:t>P0</ns0:t>
        </ns0:is>
      </ns0:c>
      <ns0:c r="G58" s="8" t="inlineStr">
        <ns0:is>
          <ns0:t>W4</ns0:t>
        </ns0:is>
      </ns0:c>
      <ns0:c r="H58" s="8" t="inlineStr">
        <ns0:is>
          <ns0:t>A replayed webhook produces exactly one message</ns0:t>
        </ns0:is>
      </ns0:c>
      <ns0:c r="I58" s="8" t="inlineStr">
        <ns0:is>
          <ns0:t>Not started</ns0:t>
        </ns0:is>
      </ns0:c>
    </ns0:row>
    <ns0:row r="59" ht="44" customHeight="1">
      <ns0:c r="A59" s="9" t="inlineStr">
        <ns0:is>
          <ns0:t>WA-03</ns0:t>
        </ns0:is>
      </ns0:c>
      <ns0:c r="B59" s="9" t="inlineStr">
        <ns0:is>
          <ns0:t>WhatsApp</ns0:t>
        </ns0:is>
      </ns0:c>
      <ns0:c r="C59" s="9" t="inlineStr">
        <ns0:is>
          <ns0:t>Adapter: send path + 24h window logic</ns0:t>
        </ns0:is>
      </ns0:c>
      <ns0:c r="D59" s="9" t="inlineStr">
        <ns0:is>
          <ns0:t>Window tracking per conversation. Templates outside the window, free-form inside.</ns0:t>
        </ns0:is>
      </ns0:c>
      <ns0:c r="E59" s="9" t="n">
        <ns0:v>1.5</ns0:v>
      </ns0:c>
      <ns0:c r="F59" s="9" t="inlineStr">
        <ns0:is>
          <ns0:t>P0</ns0:t>
        </ns0:is>
      </ns0:c>
      <ns0:c r="G59" s="9" t="inlineStr">
        <ns0:is>
          <ns0:t>W4</ns0:t>
        </ns0:is>
      </ns0:c>
      <ns0:c r="H59" s="9" t="inlineStr">
        <ns0:is>
          <ns0:t>Sending outside the window is impossible without a template</ns0:t>
        </ns0:is>
      </ns0:c>
      <ns0:c r="I59" s="9" t="inlineStr">
        <ns0:is>
          <ns0:t>Not started</ns0:t>
        </ns0:is>
      </ns0:c>
    </ns0:row>
    <ns0:row r="60" ht="44" customHeight="1">
      <ns0:c r="A60" s="8" t="inlineStr">
        <ns0:is>
          <ns0:t>WA-04</ns0:t>
        </ns0:is>
      </ns0:c>
      <ns0:c r="B60" s="8" t="inlineStr">
        <ns0:is>
          <ns0:t>WhatsApp</ns0:t>
        </ns0:is>
      </ns0:c>
      <ns0:c r="C60" s="8" t="inlineStr">
        <ns0:is>
          <ns0:t>Consent + opt-out store</ns0:t>
        </ns0:is>
      </ns0:c>
      <ns0:c r="D60" s="8" t="inlineStr">
        <ns0:is>
          <ns0:t>Explicit consent records, STOP handling, per-channel rules isolated in the adapter.</ns0:t>
        </ns0:is>
      </ns0:c>
      <ns0:c r="E60" s="8" t="n">
        <ns0:v>1</ns0:v>
      </ns0:c>
      <ns0:c r="F60" s="8" t="inlineStr">
        <ns0:is>
          <ns0:t>P0</ns0:t>
        </ns0:is>
      </ns0:c>
      <ns0:c r="G60" s="8" t="inlineStr">
        <ns0:is>
          <ns0:t>W5</ns0:t>
        </ns0:is>
      </ns0:c>
      <ns0:c r="H60" s="8" t="inlineStr">
        <ns0:is>
          <ns0:t>Opt-out is honoured across every send path</ns0:t>
        </ns0:is>
      </ns0:c>
      <ns0:c r="I60" s="8" t="inlineStr">
        <ns0:is>
          <ns0:t>Not started</ns0:t>
        </ns0:is>
      </ns0:c>
    </ns0:row>
    <ns0:row r="61" ht="44" customHeight="1">
      <ns0:c r="A61" s="9" t="inlineStr">
        <ns0:is>
          <ns0:t>WA-05</ns0:t>
        </ns0:is>
      </ns0:c>
      <ns0:c r="B61" s="9" t="inlineStr">
        <ns0:is>
          <ns0:t>WhatsApp</ns0:t>
        </ns0:is>
      </ns0:c>
      <ns0:c r="C61" s="9" t="inlineStr">
        <ns0:is>
          <ns0:t>Message-efficient reply composition</ns0:t>
        </ns0:is>
      </ns0:c>
      <ns0:c r="D61" s="9" t="inlineStr">
        <ns0:is>
          <ns0:t>One complete reply per turn. No token streaming into WhatsApp — every bubble is billable.</ns0:t>
        </ns0:is>
      </ns0:c>
      <ns0:c r="E61" s="9" t="n">
        <ns0:v>1</ns0:v>
      </ns0:c>
      <ns0:c r="F61" s="9" t="inlineStr">
        <ns0:is>
          <ns0:t>P0</ns0:t>
        </ns0:is>
      </ns0:c>
      <ns0:c r="G61" s="9" t="inlineStr">
        <ns0:is>
          <ns0:t>W5</ns0:t>
        </ns0:is>
      </ns0:c>
      <ns0:c r="H61" s="9" t="inlineStr">
        <ns0:is>
          <ns0:t>A typical exchange stays within the modelled message budget</ns0:t>
        </ns0:is>
      </ns0:c>
      <ns0:c r="I61" s="9" t="inlineStr">
        <ns0:is>
          <ns0:t>Not started</ns0:t>
        </ns0:is>
      </ns0:c>
    </ns0:row>
    <ns0:row r="62" ht="44" customHeight="1">
      <ns0:c r="A62" s="8" t="inlineStr">
        <ns0:is>
          <ns0:t>WA-06</ns0:t>
        </ns0:is>
      </ns0:c>
      <ns0:c r="B62" s="8" t="inlineStr">
        <ns0:is>
          <ns0:t>WhatsApp</ns0:t>
        </ns0:is>
      </ns0:c>
      <ns0:c r="C62" s="8" t="inlineStr">
        <ns0:is>
          <ns0:t>Template submission + approval</ns0:t>
        </ns0:is>
      </ns0:c>
      <ns0:c r="D62" s="8" t="inlineStr">
        <ns0:is>
          <ns0:t>Utility templates for outside-window replies. Submit early; approval is calendar time.</ns0:t>
        </ns0:is>
      </ns0:c>
      <ns0:c r="E62" s="8" t="n">
        <ns0:v>1</ns0:v>
      </ns0:c>
      <ns0:c r="F62" s="8" t="inlineStr">
        <ns0:is>
          <ns0:t>P0</ns0:t>
        </ns0:is>
      </ns0:c>
      <ns0:c r="G62" s="8" t="inlineStr">
        <ns0:is>
          <ns0:t>W6</ns0:t>
        </ns0:is>
      </ns0:c>
      <ns0:c r="H62" s="8" t="inlineStr">
        <ns0:is>
          <ns0:t>Templates approved and sendable</ns0:t>
        </ns0:is>
      </ns0:c>
      <ns0:c r="I62" s="8" t="inlineStr">
        <ns0:is>
          <ns0:t>Not started</ns0:t>
        </ns0:is>
      </ns0:c>
    </ns0:row>
    <ns0:row r="63" ht="44" customHeight="1">
      <ns0:c r="A63" s="9" t="inlineStr">
        <ns0:is>
          <ns0:t>WA-07</ns0:t>
        </ns0:is>
      </ns0:c>
      <ns0:c r="B63" s="9" t="inlineStr">
        <ns0:is>
          <ns0:t>WhatsApp</ns0:t>
        </ns0:is>
      </ns0:c>
      <ns0:c r="C63" s="9" t="inlineStr">
        <ns0:is>
          <ns0:t>Number-migration safeguards</ns0:t>
        </ns0:is>
      </ns0:c>
      <ns0:c r="D63" s="9" t="inlineStr">
        <ns0:is>
          <ns0:t>Warn hotels that migrating a number to the API deletes consumer WhatsApp history. Recommend a dedicated number.</ns0:t>
        </ns0:is>
      </ns0:c>
      <ns0:c r="E63" s="9" t="n">
        <ns0:v>0.5</ns0:v>
      </ns0:c>
      <ns0:c r="F63" s="9" t="inlineStr">
        <ns0:is>
          <ns0:t>P0</ns0:t>
        </ns0:is>
      </ns0:c>
      <ns0:c r="G63" s="9" t="inlineStr">
        <ns0:is>
          <ns0:t>W5</ns0:t>
        </ns0:is>
      </ns0:c>
      <ns0:c r="H63" s="9" t="inlineStr">
        <ns0:is>
          <ns0:t>Written acknowledgement captured in onboarding</ns0:t>
        </ns0:is>
      </ns0:c>
      <ns0:c r="I63" s="9" t="inlineStr">
        <ns0:is>
          <ns0:t>Not started</ns0:t>
        </ns0:is>
      </ns0:c>
    </ns0:row>
    <ns0:row r="64" ht="44" customHeight="1">
      <ns0:c r="A64" s="8" t="inlineStr">
        <ns0:is>
          <ns0:t>WA-08</ns0:t>
        </ns0:is>
      </ns0:c>
      <ns0:c r="B64" s="8" t="inlineStr">
        <ns0:is>
          <ns0:t>WhatsApp</ns0:t>
        </ns0:is>
      </ns0:c>
      <ns0:c r="C64" s="8" t="inlineStr">
        <ns0:is>
          <ns0:t>Shadow run on one property</ns0:t>
        </ns0:is>
      </ns0:c>
      <ns0:c r="D64" s="8" t="inlineStr">
        <ns0:is>
          <ns0:t>Run alongside web chat for one week before switching any traffic.</ns0:t>
        </ns0:is>
      </ns0:c>
      <ns0:c r="E64" s="8" t="n">
        <ns0:v>1</ns0:v>
      </ns0:c>
      <ns0:c r="F64" s="8" t="inlineStr">
        <ns0:is>
          <ns0:t>P1</ns0:t>
        </ns0:is>
      </ns0:c>
      <ns0:c r="G64" s="8" t="inlineStr">
        <ns0:is>
          <ns0:t>W7</ns0:t>
        </ns0:is>
      </ns0:c>
      <ns0:c r="H64" s="8" t="inlineStr">
        <ns0:is>
          <ns0:t>Zero delivery failures across 7 days</ns0:t>
        </ns0:is>
      </ns0:c>
      <ns0:c r="I64" s="8" t="inlineStr">
        <ns0:is>
          <ns0:t>Not started</ns0:t>
        </ns0:is>
      </ns0:c>
    </ns0:row>
    <ns0:row r="65" ht="44" customHeight="1">
      <ns0:c r="A65" s="9" t="inlineStr">
        <ns0:is>
          <ns0:t>S1-07</ns0:t>
        </ns0:is>
      </ns0:c>
      <ns0:c r="B65" s="9" t="inlineStr">
        <ns0:is>
          <ns0:t>Foundation</ns0:t>
        </ns0:is>
      </ns0:c>
      <ns0:c r="C65" s="9" t="inlineStr">
        <ns0:is>
          <ns0:t>is_current retrieval filtering + re-embed job</ns0:t>
        </ns0:is>
      </ns0:c>
      <ns0:c r="D65" s="9" t="inlineStr">
        <ns0:is>
          <ns0:t>Retrieval hard-filters on current article version at query time. Publish flips is_current in one transaction after embedding.</ns0:t>
        </ns0:is>
      </ns0:c>
      <ns0:c r="E65" s="9" t="n">
        <ns0:v>0.5</ns0:v>
      </ns0:c>
      <ns0:c r="F65" s="9" t="inlineStr">
        <ns0:is>
          <ns0:t>P0</ns0:t>
        </ns0:is>
      </ns0:c>
      <ns0:c r="G65" s="9" t="inlineStr">
        <ns0:is>
          <ns0:t>S3</ns0:t>
        </ns0:is>
      </ns0:c>
      <ns0:c r="H65" s="9" t="inlineStr">
        <ns0:is>
          <ns0:t>Editing or deleting an article makes its old chunks unretrievable</ns0:t>
        </ns0:is>
      </ns0:c>
      <ns0:c r="I65" s="9" t="inlineStr">
        <ns0:is>
          <ns0:t>Not started</ns0:t>
        </ns0:is>
      </ns0:c>
    </ns0:row>
    <ns0:row r="66" ht="44" customHeight="1">
      <ns0:c r="A66" s="8" t="inlineStr">
        <ns0:is>
          <ns0:t>S2-11</ns0:t>
        </ns0:is>
      </ns0:c>
      <ns0:c r="B66" s="8" t="inlineStr">
        <ns0:is>
          <ns0:t>AI</ns0:t>
        </ns0:is>
      </ns0:c>
      <ns0:c r="C66" s="8" t="inlineStr">
        <ns0:is>
          <ns0:t>Nightly embedding reconciliation job</ns0:t>
        </ns0:is>
      </ns0:c>
      <ns0:c r="D66" s="8" t="inlineStr">
        <ns0:is>
          <ns0:t>Asserts: every current version has &gt;=1 chunk; every chunk resolves to a current version; no chunk outlives its parent. Alerts on violation.</ns0:t>
        </ns0:is>
      </ns0:c>
      <ns0:c r="E66" s="8" t="n">
        <ns0:v>0.5</ns0:v>
      </ns0:c>
      <ns0:c r="F66" s="8" t="inlineStr">
        <ns0:is>
          <ns0:t>P0</ns0:t>
        </ns0:is>
      </ns0:c>
      <ns0:c r="G66" s="8" t="inlineStr">
        <ns0:is>
          <ns0:t>S5</ns0:t>
        </ns0:is>
      </ns0:c>
      <ns0:c r="H66" s="8" t="inlineStr">
        <ns0:is>
          <ns0:t>Job fails loudly on a seeded drift case</ns0:t>
        </ns0:is>
      </ns0:c>
      <ns0:c r="I66" s="8" t="inlineStr">
        <ns0:is>
          <ns0:t>Not started</ns0:t>
        </ns0:is>
      </ns0:c>
    </ns0:row>
    <ns0:row r="67" ht="44" customHeight="1">
      <ns0:c r="A67" s="9" t="inlineStr">
        <ns0:is>
          <ns0:t>S3-08</ns0:t>
        </ns0:is>
      </ns0:c>
      <ns0:c r="B67" s="9" t="inlineStr">
        <ns0:is>
          <ns0:t>Chat</ns0:t>
        </ns0:is>
      </ns0:c>
      <ns0:c r="C67" s="9" t="inlineStr">
        <ns0:is>
          <ns0:t>LLM transport resilience</ns0:t>
        </ns0:is>
      </ns0:c>
      <ns0:c r="D67" s="9" t="inlineStr">
        <ns0:is>
          <ns0:t>Per-call timeouts, retry with jitter on 429/5xx, circuit breaker to secondary model, pinned model versions, parse-failure alerting.</ns0:t>
        </ns0:is>
      </ns0:c>
      <ns0:c r="E67" s="9" t="n">
        <ns0:v>0.5</ns0:v>
      </ns0:c>
      <ns0:c r="F67" s="9" t="inlineStr">
        <ns0:is>
          <ns0:t>P0</ns0:t>
        </ns0:is>
      </ns0:c>
      <ns0:c r="G67" s="9" t="inlineStr">
        <ns0:is>
          <ns0:t>S5</ns0:t>
        </ns0:is>
      </ns0:c>
      <ns0:c r="H67" s="9" t="inlineStr">
        <ns0:is>
          <ns0:t>Both providers killed mid-conversation; guest gets an honest reply and a ticket</ns0:t>
        </ns0:is>
      </ns0:c>
      <ns0:c r="I67" s="9" t="inlineStr">
        <ns0:is>
          <ns0:t>Not started</ns0:t>
        </ns0:is>
      </ns0:c>
    </ns0:row>
    <ns0:row r="68" ht="44" customHeight="1">
      <ns0:c r="A68" s="8" t="inlineStr">
        <ns0:is>
          <ns0:t>S0-12</ns0:t>
        </ns0:is>
      </ns0:c>
      <ns0:c r="B68" s="8" t="inlineStr">
        <ns0:is>
          <ns0:t>Knowledge</ns0:t>
        </ns0:is>
      </ns0:c>
      <ns0:c r="C68" s="8" t="inlineStr">
        <ns0:is>
          <ns0:t>Adversarial fixture hotel</ns0:t>
        </ns0:is>
      </ns0:c>
      <ns0:c r="D68" s="8" t="inlineStr">
        <ns0:is>
          <ns0:t>Messy on purpose: flattened two-column menu, OCR noise, contradictory pool hours, cross-language price list, 3,000-word article, photo-only notice.</ns0:t>
        </ns0:is>
      </ns0:c>
      <ns0:c r="E68" s="8" t="n">
        <ns0:v>0.5</ns0:v>
      </ns0:c>
      <ns0:c r="F68" s="8" t="inlineStr">
        <ns0:is>
          <ns0:t>P0</ns0:t>
        </ns0:is>
      </ns0:c>
      <ns0:c r="G68" s="8" t="inlineStr">
        <ns0:is>
          <ns0:t>S1</ns0:t>
        </ns0:is>
      </ns0:c>
      <ns0:c r="H68" s="8" t="inlineStr">
        <ns0:is>
          <ns0:t>Ingestion and retrieval are tested against it from S3 onward</ns0:t>
        </ns0:is>
      </ns0:c>
      <ns0:c r="I68" s="8" t="inlineStr">
        <ns0:is>
          <ns0:t>Not started</ns0:t>
        </ns0:is>
      </ns0:c>
    </ns0:row>
    <ns0:row r="69" ht="44" customHeight="1">
      <ns0:c r="A69" s="9" t="inlineStr">
        <ns0:is>
          <ns0:t>S0-13</ns0:t>
        </ns0:is>
      </ns0:c>
      <ns0:c r="B69" s="9" t="inlineStr">
        <ns0:is>
          <ns0:t>AI</ns0:t>
        </ns0:is>
      </ns0:c>
      <ns0:c r="C69" s="9" t="inlineStr">
        <ns0:is>
          <ns0:t>Golden set: LLM-drafted answer cases, human escalation cases</ns0:t>
        </ns0:is>
      </ns0:c>
      <ns0:c r="D69" s="9" t="inlineStr">
        <ns0:is>
          <ns0:t>LLM drafts answer-expected questions from articles; humans author escalation cases from the front-desk baseline log. Freeze v2 at G1.</ns0:t>
        </ns0:is>
      </ns0:c>
      <ns0:c r="E69" s="9" t="n">
        <ns0:v>0.25</ns0:v>
      </ns0:c>
      <ns0:c r="F69" s="9" t="inlineStr">
        <ns0:is>
          <ns0:t>P0</ns0:t>
        </ns0:is>
      </ns0:c>
      <ns0:c r="G69" s="9" t="inlineStr">
        <ns0:is>
          <ns0:t>S0</ns0:t>
        </ns0:is>
      </ns0:c>
      <ns0:c r="H69" s="9" t="inlineStr">
        <ns0:is>
          <ns0:t>Golden set v2 frozen and versioned at G1</ns0:t>
        </ns0:is>
      </ns0:c>
      <ns0:c r="I69" s="9" t="inlineStr">
        <ns0:is>
          <ns0:t>Not started</ns0:t>
        </ns0:is>
      </ns0:c>
    </ns0:row>
    <ns0:row r="70" ht="44" customHeight="1">
      <ns0:c r="A70" s="8" t="inlineStr">
        <ns0:is>
          <ns0:t>S4-08</ns0:t>
        </ns0:is>
      </ns0:c>
      <ns0:c r="B70" s="8" t="inlineStr">
        <ns0:is>
          <ns0:t>Inbox</ns0:t>
        </ns0:is>
      </ns0:c>
      <ns0:c r="C70" s="8" t="inlineStr">
        <ns0:is>
          <ns0:t>Non-blocking review queue</ns0:t>
        </ns0:is>
      </ns0:c>
      <ns0:c r="D70" s="8" t="inlineStr">
        <ns0:is>
          <ns0:t>Review queue never gates guest delivery. Replaces Draft mode as the week-one pilot mechanism.</ns0:t>
        </ns0:is>
      </ns0:c>
      <ns0:c r="E70" s="8" t="n">
        <ns0:v>0.5</ns0:v>
      </ns0:c>
      <ns0:c r="F70" s="8" t="inlineStr">
        <ns0:is>
          <ns0:t>P0</ns0:t>
        </ns0:is>
      </ns0:c>
      <ns0:c r="G70" s="8" t="inlineStr">
        <ns0:is>
          <ns0:t>S7</ns0:t>
        </ns0:is>
      </ns0:c>
      <ns0:c r="H70" s="8" t="inlineStr">
        <ns0:is>
          <ns0:t>Flagging an answer does not delay the guest reply</ns0:t>
        </ns0:is>
      </ns0:c>
      <ns0:c r="I70" s="8" t="inlineStr">
        <ns0:is>
          <ns0:t>Not started</ns0:t>
        </ns0:is>
      </ns0:c>
    </ns0:row>
    <ns0:row r="71" ht="44" customHeight="1">
      <ns0:c r="A71" s="9" t="inlineStr">
        <ns0:is>
          <ns0:t>S0-14</ns0:t>
        </ns0:is>
      </ns0:c>
      <ns0:c r="B71" s="9" t="inlineStr">
        <ns0:is>
          <ns0:t>WhatsApp</ns0:t>
        </ns0:is>
      </ns0:c>
      <ns0:c r="C71" s="9" t="inlineStr">
        <ns0:is>
          <ns0:t>Mexico verification document pack</ns0:t>
        </ns0:is>
      </ns0:c>
      <ns0:c r="D71" s="9" t="inlineStr">
        <ns0:is>
          <ns0:t>RFC name match, RFC doc, CFE/bank statement in registered name, matching domain, trading name, callable phone.</ns0:t>
        </ns0:is>
      </ns0:c>
      <ns0:c r="E71" s="9" t="n">
        <ns0:v>0.25</ns0:v>
      </ns0:c>
      <ns0:c r="F71" s="9" t="inlineStr">
        <ns0:is>
          <ns0:t>P0</ns0:t>
        </ns0:is>
      </ns0:c>
      <ns0:c r="G71" s="9" t="inlineStr">
        <ns0:is>
          <ns0:t>S0</ns0:t>
        </ns0:is>
      </ns0:c>
      <ns0:c r="H71" s="9" t="inlineStr">
        <ns0:is>
          <ns0:t>Pack assembled and cross-checked before submission</ns0:t>
        </ns0:is>
      </ns0:c>
      <ns0:c r="I71" s="9" t="inlineStr">
        <ns0:is>
          <ns0:t>Not started</ns0:t>
        </ns0:is>
      </ns0:c>
    </ns0:row>
    <ns0:row r="72">
      <ns0:c r="D72" s="10" t="inlineStr">
        <ns0:is>
          <ns0:t>total dev-days</ns0:t>
        </ns0:is>
      </ns0:c>
      <ns0:c r="E72" s="11">
        <ns0:f>SUM(E2:E71)</ns0:f>
        <ns0:v>77.0</ns0:v>
      </ns0:c>
    </ns0:row>
    <ns0:row r="73">
      <ns0:c r="D73" s="10" t="inlineStr">
        <ns0:is>
          <ns0:t>P0 subtotal (must-ship)</ns0:t>
        </ns0:is>
      </ns0:c>
      <ns0:c r="E73" s="10">
        <ns0:f>SUMIF(F2:F71,"P0",E2:E71)</ns0:f>
        <ns0:v>71.0</ns0:v>
      </ns0:c>
    </ns0:row>
  </ns0:sheetData>
  <ns0:autoFilter ref="A1:I71"/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tabColor rgb="007A2E2E"/>
    <ns0:outlinePr summaryBelow="1" summaryRight="1"/>
    <ns0:pageSetUpPr/>
  </ns0:sheetPr>
  <ns0:dimension ref="A1:G8"/>
  <ns0:sheetViews>
    <ns0:sheetView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7" customWidth="1" min="1" max="1"/>
    <ns0:col width="24" customWidth="1" min="2" max="2"/>
    <ns0:col width="12" customWidth="1" min="3" max="3"/>
    <ns0:col width="16" customWidth="1" min="4" max="4"/>
    <ns0:col width="68" customWidth="1" min="5" max="5"/>
    <ns0:col width="44" customWidth="1" min="6" max="6"/>
    <ns0:col width="14" customWidth="1" min="7" max="7"/>
  </ns0:cols>
  <ns0:sheetData>
    <ns0:row r="1" ht="30" customHeight="1">
      <ns0:c r="A1" s="12" t="inlineStr">
        <ns0:is>
          <ns0:t>ID</ns0:t>
        </ns0:is>
      </ns0:c>
      <ns0:c r="B1" s="12" t="inlineStr">
        <ns0:is>
          <ns0:t>Gate</ns0:t>
        </ns0:is>
      </ns0:c>
      <ns0:c r="C1" s="12" t="inlineStr">
        <ns0:is>
          <ns0:t>When</ns0:t>
        </ns0:is>
      </ns0:c>
      <ns0:c r="D1" s="12" t="inlineStr">
        <ns0:is>
          <ns0:t>Owner</ns0:t>
        </ns0:is>
      </ns0:c>
      <ns0:c r="E1" s="12" t="inlineStr">
        <ns0:is>
          <ns0:t>Pass criteria</ns0:t>
        </ns0:is>
      </ns0:c>
      <ns0:c r="F1" s="12" t="inlineStr">
        <ns0:is>
          <ns0:t>If it fails</ns0:t>
        </ns0:is>
      </ns0:c>
      <ns0:c r="G1" s="12" t="inlineStr">
        <ns0:is>
          <ns0:t>Status</ns0:t>
        </ns0:is>
      </ns0:c>
    </ns0:row>
    <ns0:row r="2" ht="62" customHeight="1">
      <ns0:c r="A2" s="8" t="inlineStr">
        <ns0:is>
          <ns0:t>G0</ns0:t>
        </ns0:is>
      </ns0:c>
      <ns0:c r="B2" s="8" t="inlineStr">
        <ns0:is>
          <ns0:t>Decisions locked, approvals started</ns0:t>
        </ns0:is>
      </ns0:c>
      <ns0:c r="C2" s="8" t="inlineStr">
        <ns0:is>
          <ns0:t>End W0</ns0:t>
        </ns0:is>
      </ns0:c>
      <ns0:c r="D2" s="8" t="inlineStr">
        <ns0:is>
          <ns0:t>Founder / tech lead</ns0:t>
        </ns0:is>
      </ns0:c>
      <ns0:c r="E2" s="8" t="inlineStr">
        <ns0:is>
          <ns0:t>ADRs D1–D14 recorded. Meta business verification submitted. Pilot content owner named with dates. Demo property seeded.</ns0:t>
        </ns0:is>
      </ns0:c>
      <ns0:c r="F2" s="8" t="inlineStr">
        <ns0:is>
          <ns0:t>Do not start Sprint 1. Starting without D1/D5/D11 is the expensive mistake.</ns0:t>
        </ns0:is>
      </ns0:c>
      <ns0:c r="G2" s="13" t="inlineStr">
        <ns0:is>
          <ns0:t>Open</ns0:t>
        </ns0:is>
      </ns0:c>
    </ns0:row>
    <ns0:row r="3" ht="62" customHeight="1">
      <ns0:c r="A3" s="9" t="inlineStr">
        <ns0:is>
          <ns0:t>G1</ns0:t>
        </ns0:is>
      </ns0:c>
      <ns0:c r="B3" s="9" t="inlineStr">
        <ns0:is>
          <ns0:t>Content ready (pilot property)</ns0:t>
        </ns0:is>
      </ns0:c>
      <ns0:c r="C3" s="9" t="inlineStr">
        <ns0:is>
          <ns0:t>End W3</ns0:t>
        </ns0:is>
      </ns0:c>
      <ns0:c r="D3" s="9" t="inlineStr">
        <ns0:is>
          <ns0:t>Content owner + PM</ns0:t>
        </ns0:is>
      </ns0:c>
      <ns0:c r="E3" s="9" t="inlineStr">
        <ns0:is>
          <ns0:t>≥ 25 approved articles. ≥ 40 verified facts. Zero unresolved contradictions above severity threshold. Golden set v1 ≥ 40 questions.</ns0:t>
        </ns0:is>
      </ns0:c>
      <ns0:c r="F3" s="9" t="inlineStr">
        <ns0:is>
          <ns0:t>Delay pilot, not the build. Switch pilot to the standby property.</ns0:t>
        </ns0:is>
      </ns0:c>
      <ns0:c r="G3" s="13" t="inlineStr">
        <ns0:is>
          <ns0:t>Open</ns0:t>
        </ns0:is>
      </ns0:c>
    </ns0:row>
    <ns0:row r="4" ht="62" customHeight="1">
      <ns0:c r="A4" s="8" t="inlineStr">
        <ns0:is>
          <ns0:t>G2</ns0:t>
        </ns0:is>
      </ns0:c>
      <ns0:c r="B4" s="8" t="inlineStr">
        <ns0:is>
          <ns0:t>AI quality</ns0:t>
        </ns0:is>
      </ns0:c>
      <ns0:c r="C4" s="8" t="inlineStr">
        <ns0:is>
          <ns0:t>End W5</ns0:t>
        </ns0:is>
      </ns0:c>
      <ns0:c r="D4" s="8" t="inlineStr">
        <ns0:is>
          <ns0:t>Tech lead</ns0:t>
        </ns0:is>
      </ns0:c>
      <ns0:c r="E4" s="8" t="inlineStr">
        <ns0:is>
          <ns0:t>False-answer ≤ 2%. Correct-answer-or-correct-escalation ≥ 95%. Retrieval recall ≥ 90%. p95 first token ≤ 3.5 s.</ns0:t>
        </ns0:is>
      </ns0:c>
      <ns0:c r="F4" s="8" t="inlineStr">
        <ns0:is>
          <ns0:t>Hard stop on Phase 3 feature work. Improve retrieval and content, not prompt wording.</ns0:t>
        </ns0:is>
      </ns0:c>
      <ns0:c r="G4" s="13" t="inlineStr">
        <ns0:is>
          <ns0:t>Open</ns0:t>
        </ns0:is>
      </ns0:c>
    </ns0:row>
    <ns0:row r="5" ht="62" customHeight="1">
      <ns0:c r="A5" s="9" t="inlineStr">
        <ns0:is>
          <ns0:t>G3</ns0:t>
        </ns0:is>
      </ns0:c>
      <ns0:c r="B5" s="9" t="inlineStr">
        <ns0:is>
          <ns0:t>Pilot-ready</ns0:t>
        </ns0:is>
      </ns0:c>
      <ns0:c r="C5" s="9" t="inlineStr">
        <ns0:is>
          <ns0:t>End W11</ns0:t>
        </ns0:is>
      </ns0:c>
      <ns0:c r="D5" s="9" t="inlineStr">
        <ns0:is>
          <ns0:t>Tech lead + founder</ns0:t>
        </ns0:is>
      </ns0:c>
      <ns0:c r="E5" s="9" t="inlineStr">
        <ns0:is>
          <ns0:t>Tenant-isolation suite green. Restore drill signed off. 3 hotel staff complete a scripted flow unaided. Outage fallback verified. Runbook written.</ns0:t>
        </ns0:is>
      </ns0:c>
      <ns0:c r="F5" s="9" t="inlineStr">
        <ns0:is>
          <ns0:t>Ship in Draft mode only. Autonomy requires G3.</ns0:t>
        </ns0:is>
      </ns0:c>
      <ns0:c r="G5" s="13" t="inlineStr">
        <ns0:is>
          <ns0:t>Open</ns0:t>
        </ns0:is>
      </ns0:c>
    </ns0:row>
    <ns0:row r="6" ht="62" customHeight="1">
      <ns0:c r="A6" s="8" t="inlineStr">
        <ns0:is>
          <ns0:t>G4</ns0:t>
        </ns0:is>
      </ns0:c>
      <ns0:c r="B6" s="8" t="inlineStr">
        <ns0:is>
          <ns0:t>Pilot readout</ns0:t>
        </ns0:is>
      </ns0:c>
      <ns0:c r="C6" s="8" t="inlineStr">
        <ns0:is>
          <ns0:t>W17</ns0:t>
        </ns0:is>
      </ns0:c>
      <ns0:c r="D6" s="8" t="inlineStr">
        <ns0:is>
          <ns0:t>Founder</ns0:t>
        </ns0:is>
      </ns0:c>
      <ns0:c r="E6" s="8" t="inlineStr">
        <ns0:is>
          <ns0:t>Containment ≥ 55%. Audited accuracy ≥ 95%. Request ack median ≤ 10 min in hours. Knowledge-gap median age ≤ 7 days.</ns0:t>
        </ns0:is>
      </ns0:c>
      <ns0:c r="F6" s="8" t="inlineStr">
        <ns0:is>
          <ns0:t>Do not scale sales. Fix content or notification routing first — the two causes that account for most failures.</ns0:t>
        </ns0:is>
      </ns0:c>
      <ns0:c r="G6" s="13" t="inlineStr">
        <ns0:is>
          <ns0:t>Open</ns0:t>
        </ns0:is>
      </ns0:c>
    </ns0:row>
    <ns0:row r="7" ht="62" customHeight="1">
      <ns0:c r="A7" s="9" t="inlineStr">
        <ns0:is>
          <ns0:t>G5</ns0:t>
        </ns0:is>
      </ns0:c>
      <ns0:c r="B7" s="9" t="inlineStr">
        <ns0:is>
          <ns0:t>WhatsApp live</ns0:t>
        </ns0:is>
      </ns0:c>
      <ns0:c r="C7" s="9" t="inlineStr">
        <ns0:is>
          <ns0:t>W18</ns0:t>
        </ns0:is>
      </ns0:c>
      <ns0:c r="D7" s="9" t="inlineStr">
        <ns0:is>
          <ns0:t>Tech lead</ns0:t>
        </ns0:is>
      </ns0:c>
      <ns0:c r="E7" s="9" t="inlineStr">
        <ns0:is>
          <ns0:t>Verification approved. Templates approved. Consent/opt-out tested. Cost per conversation within model. Shadow run clean for 7 days.</ns0:t>
        </ns0:is>
      </ns0:c>
      <ns0:c r="F7" s="9" t="inlineStr">
        <ns0:is>
          <ns0:t>Keep web-only. WhatsApp is a channel, not the product.</ns0:t>
        </ns0:is>
      </ns0:c>
      <ns0:c r="G7" s="13" t="inlineStr">
        <ns0:is>
          <ns0:t>Open</ns0:t>
        </ns0:is>
      </ns0:c>
    </ns0:row>
    <ns0:row r="8" ht="62" customHeight="1">
      <ns0:c r="A8" s="8" t="inlineStr">
        <ns0:is>
          <ns0:t>G6</ns0:t>
        </ns0:is>
      </ns0:c>
      <ns0:c r="B8" s="8" t="inlineStr">
        <ns0:is>
          <ns0:t>Group pilot</ns0:t>
        </ns0:is>
      </ns0:c>
      <ns0:c r="C8" s="8" t="inlineStr">
        <ns0:is>
          <ns0:t>Post-G4 (W19+)</ns0:t>
        </ns0:is>
      </ns0:c>
      <ns0:c r="D8" s="8" t="inlineStr">
        <ns0:is>
          <ns0:t>Founder</ns0:t>
        </ns0:is>
      </ns0:c>
      <ns0:c r="E8" s="8" t="inlineStr">
        <ns0:is>
          <ns0:t>2–3 properties signed on the same product. Brand→property inheritance exercised. Group reporting live. Security questionnaire answered without bespoke work.</ns0:t>
        </ns0:is>
      </ns0:c>
      <ns0:c r="F8" s="8" t="inlineStr">
        <ns0:is>
          <ns0:t>Do not take a group pilot that requires PMS integration or custom build.</ns0:t>
        </ns0:is>
      </ns0:c>
      <ns0:c r="G8" s="13" t="inlineStr">
        <ns0:is>
          <ns0:t>Open</ns0:t>
        </ns0:is>
      </ns0:c>
    </ns0:row>
  </ns0:sheetData>
  <ns0:autoFilter ref="A1:G8"/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tabColor rgb="002E6E6A"/>
    <ns0:outlinePr summaryBelow="1" summaryRight="1"/>
    <ns0:pageSetUpPr/>
  </ns0:sheetPr>
  <ns0:dimension ref="A1:F16"/>
  <ns0:sheetViews>
    <ns0:sheetView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26" customWidth="1" min="1" max="1"/>
    <ns0:col width="58" customWidth="1" min="2" max="2"/>
    <ns0:col width="12" customWidth="1" min="3" max="3"/>
    <ns0:col width="20" customWidth="1" min="4" max="4"/>
    <ns0:col width="22" customWidth="1" min="5" max="5"/>
    <ns0:col width="56" customWidth="1" min="6" max="6"/>
  </ns0:cols>
  <ns0:sheetData>
    <ns0:row r="1" ht="30" customHeight="1">
      <ns0:c r="A1" s="14" t="inlineStr">
        <ns0:is>
          <ns0:t>Metric</ns0:t>
        </ns0:is>
      </ns0:c>
      <ns0:c r="B1" s="14" t="inlineStr">
        <ns0:is>
          <ns0:t>Definition</ns0:t>
        </ns0:is>
      </ns0:c>
      <ns0:c r="C1" s="14" t="inlineStr">
        <ns0:is>
          <ns0:t>Type</ns0:t>
        </ns0:is>
      </ns0:c>
      <ns0:c r="D1" s="14" t="inlineStr">
        <ns0:is>
          <ns0:t>Pilot target</ns0:t>
        </ns0:is>
      </ns0:c>
      <ns0:c r="E1" s="14" t="inlineStr">
        <ns0:is>
          <ns0:t>Source</ns0:t>
        </ns0:is>
      </ns0:c>
      <ns0:c r="F1" s="14" t="inlineStr">
        <ns0:is>
          <ns0:t>Why it matters</ns0:t>
        </ns0:is>
      </ns0:c>
    </ns0:row>
    <ns0:row r="2" ht="42" customHeight="1">
      <ns0:c r="A2" s="8" t="inlineStr">
        <ns0:is>
          <ns0:t>Containment</ns0:t>
        </ns0:is>
      </ns0:c>
      <ns0:c r="B2" s="8" t="inlineStr">
        <ns0:is>
          <ns0:t>Conversations resolved with zero staff messages ÷ total conversations</ns0:t>
        </ns0:is>
      </ns0:c>
      <ns0:c r="C2" s="8" t="inlineStr">
        <ns0:is>
          <ns0:t>Outcome</ns0:t>
        </ns0:is>
      </ns0:c>
      <ns0:c r="D2" s="8" t="inlineStr">
        <ns0:is>
          <ns0:t>≥ 55% by pilot week 3</ns0:t>
        </ns0:is>
      </ns0:c>
      <ns0:c r="E2" s="8" t="inlineStr">
        <ns0:is>
          <ns0:t>events</ns0:t>
        </ns0:is>
      </ns0:c>
      <ns0:c r="F2" s="8" t="inlineStr">
        <ns0:is>
          <ns0:t>The commercial promise: repetitive work removed.</ns0:t>
        </ns0:is>
      </ns0:c>
    </ns0:row>
    <ns0:row r="3" ht="42" customHeight="1">
      <ns0:c r="A3" s="9" t="inlineStr">
        <ns0:is>
          <ns0:t>Audited accuracy</ns0:t>
        </ns0:is>
      </ns0:c>
      <ns0:c r="B3" s="9" t="inlineStr">
        <ns0:is>
          <ns0:t>Weekly random sample of 50 AI answers, human-scored for correctness</ns0:t>
        </ns0:is>
      </ns0:c>
      <ns0:c r="C3" s="9" t="inlineStr">
        <ns0:is>
          <ns0:t>Outcome (audited)</ns0:t>
        </ns0:is>
      </ns0:c>
      <ns0:c r="D3" s="9" t="inlineStr">
        <ns0:is>
          <ns0:t>≥ 95%</ns0:t>
        </ns0:is>
      </ns0:c>
      <ns0:c r="E3" s="9" t="inlineStr">
        <ns0:is>
          <ns0:t>Manual sample</ns0:t>
        </ns0:is>
      </ns0:c>
      <ns0:c r="F3" s="9" t="inlineStr">
        <ns0:is>
          <ns0:t>The only honest measure of answer quality. Sample it; don't instrument it.</ns0:t>
        </ns0:is>
      </ns0:c>
    </ns0:row>
    <ns0:row r="4" ht="42" customHeight="1">
      <ns0:c r="A4" s="15" t="inlineStr">
        <ns0:is>
          <ns0:t>False-answer rate</ns0:t>
        </ns0:is>
      </ns0:c>
      <ns0:c r="B4" s="16" t="inlineStr">
        <ns0:is>
          <ns0:t>Confidently wrong answers ÷ sampled answers</ns0:t>
        </ns0:is>
      </ns0:c>
      <ns0:c r="C4" s="16" t="inlineStr">
        <ns0:is>
          <ns0:t>Diagnostic — HARD GATE</ns0:t>
        </ns0:is>
      </ns0:c>
      <ns0:c r="D4" s="16" t="inlineStr">
        <ns0:is>
          <ns0:t>≤ 2%</ns0:t>
        </ns0:is>
      </ns0:c>
      <ns0:c r="E4" s="16" t="inlineStr">
        <ns0:is>
          <ns0:t>Manual sample</ns0:t>
        </ns0:is>
      </ns0:c>
      <ns0:c r="F4" s="16" t="inlineStr">
        <ns0:is>
          <ns0:t>One confident wrong answer costs more trust than 20 honest 'I don't know's.</ns0:t>
        </ns0:is>
      </ns0:c>
    </ns0:row>
    <ns0:row r="5" ht="42" customHeight="1">
      <ns0:c r="A5" s="9" t="inlineStr">
        <ns0:is>
          <ns0:t>Correct escalation</ns0:t>
        </ns0:is>
      </ns0:c>
      <ns0:c r="B5" s="9" t="inlineStr">
        <ns0:is>
          <ns0:t>Escalated when it should have ÷ should-have-escalated</ns0:t>
        </ns0:is>
      </ns0:c>
      <ns0:c r="C5" s="9" t="inlineStr">
        <ns0:is>
          <ns0:t>Diagnostic</ns0:t>
        </ns0:is>
      </ns0:c>
      <ns0:c r="D5" s="9" t="inlineStr">
        <ns0:is>
          <ns0:t>≥ 90%</ns0:t>
        </ns0:is>
      </ns0:c>
      <ns0:c r="E5" s="9" t="inlineStr">
        <ns0:is>
          <ns0:t>Golden set + sample</ns0:t>
        </ns0:is>
      </ns0:c>
      <ns0:c r="F5" s="9" t="inlineStr">
        <ns0:is>
          <ns0:t>Catches over-confidence in sensitive topics.</ns0:t>
        </ns0:is>
      </ns0:c>
    </ns0:row>
    <ns0:row r="6" ht="42" customHeight="1">
      <ns0:c r="A6" s="8" t="inlineStr">
        <ns0:is>
          <ns0:t>Needless escalation</ns0:t>
        </ns0:is>
      </ns0:c>
      <ns0:c r="B6" s="8" t="inlineStr">
        <ns0:is>
          <ns0:t>Escalated when a good answer existed ÷ answerable</ns0:t>
        </ns0:is>
      </ns0:c>
      <ns0:c r="C6" s="8" t="inlineStr">
        <ns0:is>
          <ns0:t>Diagnostic</ns0:t>
        </ns0:is>
      </ns0:c>
      <ns0:c r="D6" s="8" t="inlineStr">
        <ns0:is>
          <ns0:t>≤ 20% initially, falling</ns0:t>
        </ns0:is>
      </ns0:c>
      <ns0:c r="E6" s="8" t="inlineStr">
        <ns0:is>
          <ns0:t>Golden set</ns0:t>
        </ns0:is>
      </ns0:c>
      <ns0:c r="F6" s="8" t="inlineStr">
        <ns0:is>
          <ns0:t>The main driver of low containment. Trust it more as it falls.</ns0:t>
        </ns0:is>
      </ns0:c>
    </ns0:row>
    <ns0:row r="7" ht="42" customHeight="1">
      <ns0:c r="A7" s="9" t="inlineStr">
        <ns0:is>
          <ns0:t>Request acknowledgement</ns0:t>
        </ns0:is>
      </ns0:c>
      <ns0:c r="B7" s="9" t="inlineStr">
        <ns0:is>
          <ns0:t>request_created → first staff action, within operating hours, median</ns0:t>
        </ns0:is>
      </ns0:c>
      <ns0:c r="C7" s="9" t="inlineStr">
        <ns0:is>
          <ns0:t>Outcome</ns0:t>
        </ns0:is>
      </ns0:c>
      <ns0:c r="D7" s="9" t="inlineStr">
        <ns0:is>
          <ns0:t>≤ 10 min</ns0:t>
        </ns0:is>
      </ns0:c>
      <ns0:c r="E7" s="9" t="inlineStr">
        <ns0:is>
          <ns0:t>events</ns0:t>
        </ns0:is>
      </ns0:c>
      <ns0:c r="F7" s="9" t="inlineStr">
        <ns0:is>
          <ns0:t>Healthiest single signal that the ops loop works.</ns0:t>
        </ns0:is>
      </ns0:c>
    </ns0:row>
    <ns0:row r="8" ht="42" customHeight="1">
      <ns0:c r="A8" s="8" t="inlineStr">
        <ns0:is>
          <ns0:t>Request resolution</ns0:t>
        </ns0:is>
      </ns0:c>
      <ns0:c r="B8" s="8" t="inlineStr">
        <ns0:is>
          <ns0:t>created → resolved, median and p90</ns0:t>
        </ns0:is>
      </ns0:c>
      <ns0:c r="C8" s="8" t="inlineStr">
        <ns0:is>
          <ns0:t>Outcome</ns0:t>
        </ns0:is>
      </ns0:c>
      <ns0:c r="D8" s="8" t="inlineStr">
        <ns0:is>
          <ns0:t>Measure, don't target yet</ns0:t>
        </ns0:is>
      </ns0:c>
      <ns0:c r="E8" s="8" t="inlineStr">
        <ns0:is>
          <ns0:t>events</ns0:t>
        </ns0:is>
      </ns0:c>
      <ns0:c r="F8" s="8" t="inlineStr">
        <ns0:is>
          <ns0:t>Set the target after 4 weeks of real data.</ns0:t>
        </ns0:is>
      </ns0:c>
    </ns0:row>
    <ns0:row r="9" ht="42" customHeight="1">
      <ns0:c r="A9" s="9" t="inlineStr">
        <ns0:is>
          <ns0:t>Knowledge gap median age</ns0:t>
        </ns0:is>
      </ns0:c>
      <ns0:c r="B9" s="9" t="inlineStr">
        <ns0:is>
          <ns0:t>Median days a gap sits unresolved</ns0:t>
        </ns0:is>
      </ns0:c>
      <ns0:c r="C9" s="9" t="inlineStr">
        <ns0:is>
          <ns0:t>Diagnostic</ns0:t>
        </ns0:is>
      </ns0:c>
      <ns0:c r="D9" s="9" t="inlineStr">
        <ns0:is>
          <ns0:t>≤ 7 days</ns0:t>
        </ns0:is>
      </ns0:c>
      <ns0:c r="E9" s="9" t="inlineStr">
        <ns0:is>
          <ns0:t>knowledge_gaps</ns0:t>
        </ns0:is>
      </ns0:c>
      <ns0:c r="F9" s="9" t="inlineStr">
        <ns0:is>
          <ns0:t>Tells the hotel exactly what content to write next.</ns0:t>
        </ns0:is>
      </ns0:c>
    </ns0:row>
    <ns0:row r="10" ht="42" customHeight="1">
      <ns0:c r="A10" s="8" t="inlineStr">
        <ns0:is>
          <ns0:t>Guest re-ask rate</ns0:t>
        </ns0:is>
      </ns0:c>
      <ns0:c r="B10" s="8" t="inlineStr">
        <ns0:is>
          <ns0:t>Same question repeated within 10 minutes ÷ conversations</ns0:t>
        </ns0:is>
      </ns0:c>
      <ns0:c r="C10" s="8" t="inlineStr">
        <ns0:is>
          <ns0:t>Diagnostic (proxy)</ns0:t>
        </ns0:is>
      </ns0:c>
      <ns0:c r="D10" s="8" t="inlineStr">
        <ns0:is>
          <ns0:t>≤ 5%</ns0:t>
        </ns0:is>
      </ns0:c>
      <ns0:c r="E10" s="8" t="inlineStr">
        <ns0:is>
          <ns0:t>events</ns0:t>
        </ns0:is>
      </ns0:c>
      <ns0:c r="F10" s="8" t="inlineStr">
        <ns0:is>
          <ns0:t>Proxy for unsatisfying answers, no survey needed.</ns0:t>
        </ns0:is>
      </ns0:c>
    </ns0:row>
    <ns0:row r="11" ht="42" customHeight="1">
      <ns0:c r="A11" s="9" t="inlineStr">
        <ns0:is>
          <ns0:t>Staff override rate</ns0:t>
        </ns0:is>
      </ns0:c>
      <ns0:c r="B11" s="9" t="inlineStr">
        <ns0:is>
          <ns0:t>AI replies edited or contradicted by staff ÷ AI replies</ns0:t>
        </ns0:is>
      </ns0:c>
      <ns0:c r="C11" s="9" t="inlineStr">
        <ns0:is>
          <ns0:t>Diagnostic</ns0:t>
        </ns0:is>
      </ns0:c>
      <ns0:c r="D11" s="9" t="inlineStr">
        <ns0:is>
          <ns0:t>Trend flat or falling</ns0:t>
        </ns0:is>
      </ns0:c>
      <ns0:c r="E11" s="9" t="inlineStr">
        <ns0:is>
          <ns0:t>events</ns0:t>
        </ns0:is>
      </ns0:c>
      <ns0:c r="F11" s="9" t="inlineStr">
        <ns0:is>
          <ns0:t>Rising = quality drift, often right after a KB edit.</ns0:t>
        </ns0:is>
      </ns0:c>
    </ns0:row>
    <ns0:row r="12" ht="42" customHeight="1">
      <ns0:c r="A12" s="8" t="inlineStr">
        <ns0:is>
          <ns0:t>Human handoff rate</ns0:t>
        </ns0:is>
      </ns0:c>
      <ns0:c r="B12" s="8" t="inlineStr">
        <ns0:is>
          <ns0:t>Conversations reaching needs_staff ÷ conversations</ns0:t>
        </ns0:is>
      </ns0:c>
      <ns0:c r="C12" s="8" t="inlineStr">
        <ns0:is>
          <ns0:t>Diagnostic</ns0:t>
        </ns0:is>
      </ns0:c>
      <ns0:c r="D12" s="8" t="inlineStr">
        <ns0:is>
          <ns0:t>Inverse of containment</ns0:t>
        </ns0:is>
      </ns0:c>
      <ns0:c r="E12" s="8" t="inlineStr">
        <ns0:is>
          <ns0:t>events</ns0:t>
        </ns0:is>
      </ns0:c>
      <ns0:c r="F12" s="8" t="inlineStr">
        <ns0:is>
          <ns0:t>Reported by topic and by language.</ns0:t>
        </ns0:is>
      </ns0:c>
    </ns0:row>
    <ns0:row r="13" ht="42" customHeight="1">
      <ns0:c r="A13" s="9" t="inlineStr">
        <ns0:is>
          <ns0:t>Cost per resolved conversation</ns0:t>
        </ns0:is>
      </ns0:c>
      <ns0:c r="B13" s="9" t="inlineStr">
        <ns0:is>
          <ns0:t>(LLM + WhatsApp + infra) ÷ resolved conversations</ns0:t>
        </ns0:is>
      </ns0:c>
      <ns0:c r="C13" s="9" t="inlineStr">
        <ns0:is>
          <ns0:t>Unit economics</ns0:t>
        </ns0:is>
      </ns0:c>
      <ns0:c r="D13" s="9" t="inlineStr">
        <ns0:is>
          <ns0:t>≤ $0.15</ns0:t>
        </ns0:is>
      </ns0:c>
      <ns0:c r="E13" s="9" t="inlineStr">
        <ns0:is>
          <ns0:t>Billing + events</ns0:t>
        </ns0:is>
      </ns0:c>
      <ns0:c r="F13" s="9" t="inlineStr">
        <ns0:is>
          <ns0:t>Decides whether the price point survives a high-volume property.</ns0:t>
        </ns0:is>
      </ns0:c>
    </ns0:row>
    <ns0:row r="14" ht="42" customHeight="1">
      <ns0:c r="A14" s="8" t="inlineStr">
        <ns0:is>
          <ns0:t>First response time (guest view)</ns0:t>
        </ns0:is>
      </ns0:c>
      <ns0:c r="B14" s="8" t="inlineStr">
        <ns0:is>
          <ns0:t>Guest message → first visible reply, p95</ns0:t>
        </ns0:is>
      </ns0:c>
      <ns0:c r="C14" s="8" t="inlineStr">
        <ns0:is>
          <ns0:t>Experience</ns0:t>
        </ns0:is>
      </ns0:c>
      <ns0:c r="D14" s="8" t="inlineStr">
        <ns0:is>
          <ns0:t>≤ 5 s AI / ≤ 10 min human</ns0:t>
        </ns0:is>
      </ns0:c>
      <ns0:c r="E14" s="8" t="inlineStr">
        <ns0:is>
          <ns0:t>events</ns0:t>
        </ns0:is>
      </ns0:c>
      <ns0:c r="F14" s="8" t="inlineStr">
        <ns0:is>
          <ns0:t>AI speed is a real differentiator; don't waste it.</ns0:t>
        </ns0:is>
      </ns0:c>
    </ns0:row>
    <ns0:row r="15" ht="42" customHeight="1">
      <ns0:c r="A15" s="9" t="inlineStr">
        <ns0:is>
          <ns0:t>Guest usage by language</ns0:t>
        </ns0:is>
      </ns0:c>
      <ns0:c r="B15" s="9" t="inlineStr">
        <ns0:is>
          <ns0:t>Conversations by detected language ÷ total</ns0:t>
        </ns0:is>
      </ns0:c>
      <ns0:c r="C15" s="9" t="inlineStr">
        <ns0:is>
          <ns0:t>Distribution</ns0:t>
        </ns0:is>
      </ns0:c>
      <ns0:c r="D15" s="9" t="inlineStr">
        <ns0:is>
          <ns0:t>Measure</ns0:t>
        </ns0:is>
      </ns0:c>
      <ns0:c r="E15" s="9" t="inlineStr">
        <ns0:is>
          <ns0:t>events</ns0:t>
        </ns0:is>
      </ns0:c>
      <ns0:c r="F15" s="9" t="inlineStr">
        <ns0:is>
          <ns0:t>Tells you which content languages actually earn their keep.</ns0:t>
        </ns0:is>
      </ns0:c>
    </ns0:row>
    <ns0:row r="16" ht="42" customHeight="1">
      <ns0:c r="A16" s="8" t="inlineStr">
        <ns0:is>
          <ns0:t>Opportunity clicks</ns0:t>
        </ns0:is>
      </ns0:c>
      <ns0:c r="B16" s="8" t="inlineStr">
        <ns0:is>
          <ns0:t>Booking / dining / spa link clicks</ns0:t>
        </ns0:is>
      </ns0:c>
      <ns0:c r="C16" s="8" t="inlineStr">
        <ns0:is>
          <ns0:t>Outcome (labelled)</ns0:t>
        </ns0:is>
      </ns0:c>
      <ns0:c r="D16" s="8" t="inlineStr">
        <ns0:is>
          <ns0:t>Measure</ns0:t>
        </ns0:is>
      </ns0:c>
      <ns0:c r="E16" s="8" t="inlineStr">
        <ns0:is>
          <ns0:t>events</ns0:t>
        </ns0:is>
      </ns0:c>
      <ns0:c r="F16" s="8" t="inlineStr">
        <ns0:is>
          <ns0:t>Call them opportunities. Never revenue without attribution.</ns0:t>
        </ns0:is>
      </ns0:c>
    </ns0:row>
  </ns0:sheetData>
  <ns0:autoFilter ref="A1:F16"/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tabColor rgb="007A2E2E"/>
    <ns0:outlinePr summaryBelow="1" summaryRight="1"/>
    <ns0:pageSetUpPr/>
  </ns0:sheetPr>
  <ns0:dimension ref="A1:G13"/>
  <ns0:sheetViews>
    <ns0:sheetView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5" customWidth="1" min="1" max="1"/>
    <ns0:col width="36" customWidth="1" min="2" max="2"/>
    <ns0:col width="7" customWidth="1" min="3" max="3"/>
    <ns0:col width="10" customWidth="1" min="4" max="4"/>
    <ns0:col width="68" customWidth="1" min="5" max="5"/>
    <ns0:col width="40" customWidth="1" min="6" max="6"/>
    <ns0:col width="14" customWidth="1" min="7" max="7"/>
  </ns0:cols>
  <ns0:sheetData>
    <ns0:row r="1" ht="30" customHeight="1">
      <ns0:c r="A1" s="12" t="inlineStr">
        <ns0:is>
          <ns0:t>#</ns0:t>
        </ns0:is>
      </ns0:c>
      <ns0:c r="B1" s="12" t="inlineStr">
        <ns0:is>
          <ns0:t>Risk</ns0:t>
        </ns0:is>
      </ns0:c>
      <ns0:c r="C1" s="12" t="inlineStr">
        <ns0:is>
          <ns0:t>L</ns0:t>
        </ns0:is>
      </ns0:c>
      <ns0:c r="D1" s="12" t="inlineStr">
        <ns0:is>
          <ns0:t>I</ns0:t>
        </ns0:is>
      </ns0:c>
      <ns0:c r="E1" s="12" t="inlineStr">
        <ns0:is>
          <ns0:t>Mitigation</ns0:t>
        </ns0:is>
      </ns0:c>
      <ns0:c r="F1" s="12" t="inlineStr">
        <ns0:is>
          <ns0:t>Early-warning signal</ns0:t>
        </ns0:is>
      </ns0:c>
      <ns0:c r="G1" s="12" t="inlineStr">
        <ns0:is>
          <ns0:t>Owner</ns0:t>
        </ns0:is>
      </ns0:c>
    </ns0:row>
    <ns0:row r="2" ht="48" customHeight="1">
      <ns0:c r="A2" s="8" t="inlineStr">
        <ns0:is>
          <ns0:t>R1</ns0:t>
        </ns0:is>
      </ns0:c>
      <ns0:c r="B2" s="17" t="inlineStr">
        <ns0:is>
          <ns0:t>Confident wrong answer damages a hotel's reputation</ns0:t>
        </ns0:is>
      </ns0:c>
      <ns0:c r="C2" s="8" t="inlineStr">
        <ns0:is>
          <ns0:t>M</ns0:t>
        </ns0:is>
      </ns0:c>
      <ns0:c r="D2" s="16" t="inlineStr">
        <ns0:is>
          <ns0:t>Critical</ns0:t>
        </ns0:is>
      </ns0:c>
      <ns0:c r="E2" s="8" t="inlineStr">
        <ns0:is>
          <ns0:t>Eval harness with a hard false-answer gate. Structured facts for hours/prices. Draft mode. Staff see the source. Guardrail layer rejects uncited factual claims.</ns0:t>
        </ns0:is>
      </ns0:c>
      <ns0:c r="F2" s="8" t="inlineStr">
        <ns0:is>
          <ns0:t>False-answer rate rising; staff override rate rising</ns0:t>
        </ns0:is>
      </ns0:c>
      <ns0:c r="G2" s="8" t="inlineStr">
        <ns0:is>
          <ns0:t>Tech lead</ns0:t>
        </ns0:is>
      </ns0:c>
    </ns0:row>
    <ns0:row r="3" ht="48" customHeight="1">
      <ns0:c r="A3" s="9" t="inlineStr">
        <ns0:is>
          <ns0:t>R2</ns0:t>
        </ns0:is>
      </ns0:c>
      <ns0:c r="B3" s="18" t="inlineStr">
        <ns0:is>
          <ns0:t>Hotel content incomplete or stale → low containment</ns0:t>
        </ns0:is>
      </ns0:c>
      <ns0:c r="C3" s="9" t="inlineStr">
        <ns0:is>
          <ns0:t>H</ns0:t>
        </ns0:is>
      </ns0:c>
      <ns0:c r="D3" s="13" t="inlineStr">
        <ns0:is>
          <ns0:t>High</ns0:t>
        </ns0:is>
      </ns0:c>
      <ns0:c r="E3" s="9" t="inlineStr">
        <ns0:is>
          <ns0:t>Content readiness as a sales gate. Knowledge-gap queue. 90-day fact re-verification. Assisted onboarding for the first five hotels.</ns0:t>
        </ns0:is>
      </ns0:c>
      <ns0:c r="F3" s="9" t="inlineStr">
        <ns0:is>
          <ns0:t>Containment plateauing while audited accuracy is fine</ns0:t>
        </ns0:is>
      </ns0:c>
      <ns0:c r="G3" s="9" t="inlineStr">
        <ns0:is>
          <ns0:t>Founder</ns0:t>
        </ns0:is>
      </ns0:c>
    </ns0:row>
    <ns0:row r="4" ht="48" customHeight="1">
      <ns0:c r="A4" s="8" t="inlineStr">
        <ns0:is>
          <ns0:t>R3</ns0:t>
        </ns0:is>
      </ns0:c>
      <ns0:c r="B4" s="17" t="inlineStr">
        <ns0:is>
          <ns0:t>Staff don't adopt the inbox → broken guest promises</ns0:t>
        </ns0:is>
      </ns0:c>
      <ns0:c r="C4" s="8" t="inlineStr">
        <ns0:is>
          <ns0:t>H</ns0:t>
        </ns0:is>
      </ns0:c>
      <ns0:c r="D4" s="13" t="inlineStr">
        <ns0:is>
          <ns0:t>High</ns0:t>
        </ns0:is>
      </ns0:c>
      <ns0:c r="E4" s="8" t="inlineStr">
        <ns0:is>
          <ns0:t>Phone-first inbox, email default on, request-ack SLA metric, 3 staff trained before go-live, named on-call contact per property.</ns0:t>
        </ns0:is>
      </ns0:c>
      <ns0:c r="F4" s="8" t="inlineStr">
        <ns0:is>
          <ns0:t>Request ack median climbing; unassigned queue growing</ns0:t>
        </ns0:is>
      </ns0:c>
      <ns0:c r="G4" s="8" t="inlineStr">
        <ns0:is>
          <ns0:t>Founder</ns0:t>
        </ns0:is>
      </ns0:c>
    </ns0:row>
    <ns0:row r="5" ht="48" customHeight="1">
      <ns0:c r="A5" s="9" t="inlineStr">
        <ns0:is>
          <ns0:t>R4</ns0:t>
        </ns0:is>
      </ns0:c>
      <ns0:c r="B5" s="18" t="inlineStr">
        <ns0:is>
          <ns0:t>Scope creep into PMS integration</ns0:t>
        </ns0:is>
      </ns0:c>
      <ns0:c r="C5" s="9" t="inlineStr">
        <ns0:is>
          <ns0:t>H</ns0:t>
        </ns0:is>
      </ns0:c>
      <ns0:c r="D5" s="13" t="inlineStr">
        <ns0:is>
          <ns0:t>High</ns0:t>
        </ns0:is>
      </ns0:c>
      <ns0:c r="E5" s="9" t="inlineStr">
        <ns0:is>
          <ns0:t>Written non-goals in the sales deck and the contract. Revisit only after G4 with evidence.</ns0:t>
        </ns0:is>
      </ns0:c>
      <ns0:c r="F5" s="9" t="inlineStr">
        <ns0:is>
          <ns0:t>A prospect asks for 'just read-only room status'</ns0:t>
        </ns0:is>
      </ns0:c>
      <ns0:c r="G5" s="9" t="inlineStr">
        <ns0:is>
          <ns0:t>Founder</ns0:t>
        </ns0:is>
      </ns0:c>
    </ns0:row>
    <ns0:row r="6" ht="48" customHeight="1">
      <ns0:c r="A6" s="8" t="inlineStr">
        <ns0:is>
          <ns0:t>R5</ns0:t>
        </ns0:is>
      </ns0:c>
      <ns0:c r="B6" s="17" t="inlineStr">
        <ns0:is>
          <ns0:t>WhatsApp approval delays push the launch date</ns0:t>
        </ns0:is>
      </ns0:c>
      <ns0:c r="C6" s="8" t="inlineStr">
        <ns0:is>
          <ns0:t>M</ns0:t>
        </ns0:is>
      </ns0:c>
      <ns0:c r="D6" s="19" t="inlineStr">
        <ns0:is>
          <ns0:t>Med</ns0:t>
        </ns0:is>
      </ns0:c>
      <ns0:c r="E6" s="8" t="inlineStr">
        <ns0:is>
          <ns0:t>Start Week 0. wa.me bridge for immediate presence. Web chat is the launch surface.</ns0:t>
        </ns0:is>
      </ns0:c>
      <ns0:c r="F6" s="8" t="inlineStr">
        <ns0:is>
          <ns0:t>Verification not submitted by day 5</ns0:t>
        </ns0:is>
      </ns0:c>
      <ns0:c r="G6" s="8" t="inlineStr">
        <ns0:is>
          <ns0:t>Tech lead</ns0:t>
        </ns0:is>
      </ns0:c>
    </ns0:row>
    <ns0:row r="7" ht="48" customHeight="1">
      <ns0:c r="A7" s="9" t="inlineStr">
        <ns0:is>
          <ns0:t>R6</ns0:t>
        </ns0:is>
      </ns0:c>
      <ns0:c r="B7" s="18" t="inlineStr">
        <ns0:is>
          <ns0:t>WhatsApp per-message cost exceeds pricing tolerance</ns0:t>
        </ns0:is>
      </ns0:c>
      <ns0:c r="C7" s="9" t="inlineStr">
        <ns0:is>
          <ns0:t>M</ns0:t>
        </ns0:is>
      </ns0:c>
      <ns0:c r="D7" s="19" t="inlineStr">
        <ns0:is>
          <ns0:t>Med</ns0:t>
        </ns0:is>
      </ns0:c>
      <ns0:c r="E7" s="9" t="inlineStr">
        <ns0:is>
          <ns0:t>Message-efficient replies. Per-property spend caps. Pass-through billing clause.</ns0:t>
        </ns0:is>
      </ns0:c>
      <ns0:c r="F7" s="9" t="inlineStr">
        <ns0:is>
          <ns0:t>Cost per resolved conversation &gt; $0.15</ns0:t>
        </ns0:is>
      </ns0:c>
      <ns0:c r="G7" s="9" t="inlineStr">
        <ns0:is>
          <ns0:t>Founder</ns0:t>
        </ns0:is>
      </ns0:c>
    </ns0:row>
    <ns0:row r="8" ht="48" customHeight="1">
      <ns0:c r="A8" s="8" t="inlineStr">
        <ns0:is>
          <ns0:t>R7</ns0:t>
        </ns0:is>
      </ns0:c>
      <ns0:c r="B8" s="17" t="inlineStr">
        <ns0:is>
          <ns0:t>Tenant data leak across properties or orgs</ns0:t>
        </ns0:is>
      </ns0:c>
      <ns0:c r="C8" s="8" t="inlineStr">
        <ns0:is>
          <ns0:t>Low</ns0:t>
        </ns0:is>
      </ns0:c>
      <ns0:c r="D8" s="16" t="inlineStr">
        <ns0:is>
          <ns0:t>Critical</ns0:t>
        </ns0:is>
      </ns0:c>
      <ns0:c r="E8" s="8" t="inlineStr">
        <ns0:is>
          <ns0:t>RLS + app guards. CI isolation suite on every endpoint. Audited support access.</ns0:t>
        </ns0:is>
      </ns0:c>
      <ns0:c r="F8" s="8" t="inlineStr">
        <ns0:is>
          <ns0:t>Any unexpected 403/404 in staging</ns0:t>
        </ns0:is>
      </ns0:c>
      <ns0:c r="G8" s="8" t="inlineStr">
        <ns0:is>
          <ns0:t>Tech lead</ns0:t>
        </ns0:is>
      </ns0:c>
    </ns0:row>
    <ns0:row r="9" ht="48" customHeight="1">
      <ns0:c r="A9" s="9" t="inlineStr">
        <ns0:is>
          <ns0:t>R8</ns0:t>
        </ns0:is>
      </ns0:c>
      <ns0:c r="B9" s="18" t="inlineStr">
        <ns0:is>
          <ns0:t>Public chat abused: cost blowout or prompt injection</ns0:t>
        </ns0:is>
      </ns0:c>
      <ns0:c r="C9" s="9" t="inlineStr">
        <ns0:is>
          <ns0:t>M</ns0:t>
        </ns0:is>
      </ns0:c>
      <ns0:c r="D9" s="19" t="inlineStr">
        <ns0:is>
          <ns0:t>Med</ns0:t>
        </ns0:is>
      </ns0:c>
      <ns0:c r="E9" s="9" t="inlineStr">
        <ns0:is>
          <ns0:t>Turnstile, rate limits, per-property AI spend caps, no tools/write access for the model.</ns0:t>
        </ns0:is>
      </ns0:c>
      <ns0:c r="F9" s="9" t="inlineStr">
        <ns0:is>
          <ns0:t>Spend-cap alerts; anomalous conversation volume</ns0:t>
        </ns0:is>
      </ns0:c>
      <ns0:c r="G9" s="9" t="inlineStr">
        <ns0:is>
          <ns0:t>Tech lead</ns0:t>
        </ns0:is>
      </ns0:c>
    </ns0:row>
    <ns0:row r="10" ht="48" customHeight="1">
      <ns0:c r="A10" s="8" t="inlineStr">
        <ns0:is>
          <ns0:t>R9</ns0:t>
        </ns0:is>
      </ns0:c>
      <ns0:c r="B10" s="17" t="inlineStr">
        <ns0:is>
          <ns0:t>Multilingual quality drift</ns0:t>
        </ns0:is>
      </ns0:c>
      <ns0:c r="C10" s="8" t="inlineStr">
        <ns0:is>
          <ns0:t>M</ns0:t>
        </ns0:is>
      </ns0:c>
      <ns0:c r="D10" s="19" t="inlineStr">
        <ns0:is>
          <ns0:t>Med</ns0:t>
        </ns0:is>
      </ns0:c>
      <ns0:c r="E10" s="8" t="inlineStr">
        <ns0:is>
          <ns0:t>Eval by language. Flag properties with sparse content in an enabled language. Unofficial 'best effort' labelling.</ns0:t>
        </ns0:is>
      </ns0:c>
      <ns0:c r="F10" s="8" t="inlineStr">
        <ns0:is>
          <ns0:t>Accuracy gap &gt; 10 points between languages</ns0:t>
        </ns0:is>
      </ns0:c>
      <ns0:c r="G10" s="8" t="inlineStr">
        <ns0:is>
          <ns0:t>Tech lead</ns0:t>
        </ns0:is>
      </ns0:c>
    </ns0:row>
    <ns0:row r="11" ht="48" customHeight="1">
      <ns0:c r="A11" s="9" t="inlineStr">
        <ns0:is>
          <ns0:t>R10</ns0:t>
        </ns0:is>
      </ns0:c>
      <ns0:c r="B11" s="18" t="inlineStr">
        <ns0:is>
          <ns0:t>Solo developer bus factor / schedule slip</ns0:t>
        </ns0:is>
      </ns0:c>
      <ns0:c r="C11" s="9" t="inlineStr">
        <ns0:is>
          <ns0:t>M</ns0:t>
        </ns0:is>
      </ns0:c>
      <ns0:c r="D11" s="13" t="inlineStr">
        <ns0:is>
          <ns0:t>High</ns0:t>
        </ns0:is>
      </ns0:c>
      <ns0:c r="E11" s="9" t="inlineStr">
        <ns0:is>
          <ns0:t>Docs-first, infra as code, a briefed backup contractor, no hero culture in S6 hardening.</ns0:t>
        </ns0:is>
      </ns0:c>
      <ns0:c r="F11" s="9" t="inlineStr">
        <ns0:is>
          <ns0:t>'I'll write the docs later'</ns0:t>
        </ns0:is>
      </ns0:c>
      <ns0:c r="G11" s="9" t="inlineStr">
        <ns0:is>
          <ns0:t>Founder</ns0:t>
        </ns0:is>
      </ns0:c>
    </ns0:row>
    <ns0:row r="12" ht="48" customHeight="1">
      <ns0:c r="A12" s="8" t="inlineStr">
        <ns0:is>
          <ns0:t>R11</ns0:t>
        </ns0:is>
      </ns0:c>
      <ns0:c r="B12" s="17" t="inlineStr">
        <ns0:is>
          <ns0:t>Group procurement / security review drags</ns0:t>
        </ns0:is>
      </ns0:c>
      <ns0:c r="C12" s="8" t="inlineStr">
        <ns0:is>
          <ns0:t>M</ns0:t>
        </ns0:is>
      </ns0:c>
      <ns0:c r="D12" s="19" t="inlineStr">
        <ns0:is>
          <ns0:t>Med</ns0:t>
        </ns0:is>
      </ns0:c>
      <ns0:c r="E12" s="8" t="inlineStr">
        <ns0:is>
          <ns0:t>Answer the security questionnaire now, before it is asked. DPA template. Data-flow diagram. Support-access audit log.</ns0:t>
        </ns0:is>
      </ns0:c>
      <ns0:c r="F12" s="8" t="inlineStr">
        <ns0:is>
          <ns0:t>Questionnaire exceeds two rounds</ns0:t>
        </ns0:is>
      </ns0:c>
      <ns0:c r="G12" s="8" t="inlineStr">
        <ns0:is>
          <ns0:t>Founder</ns0:t>
        </ns0:is>
      </ns0:c>
    </ns0:row>
    <ns0:row r="13" ht="48" customHeight="1">
      <ns0:c r="A13" s="9" t="inlineStr">
        <ns0:is>
          <ns0:t>R12</ns0:t>
        </ns0:is>
      </ns0:c>
      <ns0:c r="B13" s="18" t="inlineStr">
        <ns0:is>
          <ns0:t>Regulatory exposure: guest data, AI disclosure, processor duties</ns0:t>
        </ns0:is>
      </ns0:c>
      <ns0:c r="C13" s="9" t="inlineStr">
        <ns0:is>
          <ns0:t>M</ns0:t>
        </ns0:is>
      </ns0:c>
      <ns0:c r="D13" s="13" t="inlineStr">
        <ns0:is>
          <ns0:t>High</ns0:t>
        </ns0:is>
      </ns0:c>
      <ns0:c r="E13" s="9" t="inlineStr">
        <ns0:is>
          <ns0:t>LFPDPPP 2025 privacy notice + DPA. AI disclosure on first message. Retention defaults. Documented cross-border flows.</ns0:t>
        </ns0:is>
      </ns0:c>
      <ns0:c r="F13" s="9" t="inlineStr">
        <ns0:is>
          <ns0:t>Any guest data leaving Mexico without a documented basis</ns0:t>
        </ns0:is>
      </ns0:c>
      <ns0:c r="G13" s="9" t="inlineStr">
        <ns0:is>
          <ns0:t>Founder</ns0:t>
        </ns0:is>
      </ns0:c>
    </ns0:row>
  </ns0:sheetData>
  <ns0:autoFilter ref="A1:G13"/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tabColor rgb="005A6B8C"/>
    <ns0:outlinePr summaryBelow="1" summaryRight="1"/>
    <ns0:pageSetUpPr/>
  </ns0:sheetPr>
  <ns0:dimension ref="A1:W23"/>
  <ns0:sheetViews>
    <ns0:sheetView workbookViewId="0">
      <ns0:selection activeCell="A1" sqref="A1"/>
    </ns0:sheetView>
  </ns0:sheetViews>
  <ns0:sheetFormatPr baseColWidth="8" defaultRowHeight="15"/>
  <ns0:cols>
    <ns0:col width="9" customWidth="1" min="1" max="1"/>
    <ns0:col width="9" customWidth="1" min="2" max="2"/>
    <ns0:col width="9" customWidth="1" min="3" max="3"/>
    <ns0:col width="9" customWidth="1" min="4" max="4"/>
    <ns0:col width="6" customWidth="1" min="5" max="5"/>
    <ns0:col width="6" customWidth="1" min="6" max="6"/>
    <ns0:col width="6" customWidth="1" min="7" max="7"/>
    <ns0:col width="6" customWidth="1" min="8" max="8"/>
    <ns0:col width="6" customWidth="1" min="9" max="9"/>
    <ns0:col width="6" customWidth="1" min="10" max="10"/>
    <ns0:col width="6" customWidth="1" min="11" max="11"/>
    <ns0:col width="6" customWidth="1" min="12" max="12"/>
    <ns0:col width="6" customWidth="1" min="13" max="13"/>
    <ns0:col width="6" customWidth="1" min="14" max="14"/>
    <ns0:col width="6" customWidth="1" min="15" max="15"/>
    <ns0:col width="6" customWidth="1" min="16" max="16"/>
    <ns0:col width="6" customWidth="1" min="17" max="17"/>
    <ns0:col width="6" customWidth="1" min="18" max="18"/>
    <ns0:col width="6" customWidth="1" min="19" max="19"/>
    <ns0:col width="6" customWidth="1" min="20" max="20"/>
    <ns0:col width="6" customWidth="1" min="21" max="21"/>
    <ns0:col width="6" customWidth="1" min="22" max="22"/>
    <ns0:col width="6" customWidth="1" min="23" max="23"/>
  </ns0:cols>
  <ns0:sheetData>
    <ns0:row r="1" ht="26" customHeight="1">
      <ns0:c r="A1" s="20" t="inlineStr">
        <ns0:is>
          <ns0:t>19-week plan · S = sprint (1 week) · plan of record: pilot live W14, readout W17</ns0:t>
        </ns0:is>
      </ns0:c>
    </ns0:row>
    <ns0:row r="2">
      <ns0:c r="A2" s="21" t="inlineStr">
        <ns0:is>
          <ns0:t>Track</ns0:t>
        </ns0:is>
      </ns0:c>
      <ns0:c r="E2" s="22" t="inlineStr">
        <ns0:is>
          <ns0:t>W0</ns0:t>
        </ns0:is>
      </ns0:c>
      <ns0:c r="F2" s="22" t="inlineStr">
        <ns0:is>
          <ns0:t>W1</ns0:t>
        </ns0:is>
      </ns0:c>
      <ns0:c r="G2" s="22" t="inlineStr">
        <ns0:is>
          <ns0:t>W2</ns0:t>
        </ns0:is>
      </ns0:c>
      <ns0:c r="H2" s="22" t="inlineStr">
        <ns0:is>
          <ns0:t>W3</ns0:t>
        </ns0:is>
      </ns0:c>
      <ns0:c r="I2" s="22" t="inlineStr">
        <ns0:is>
          <ns0:t>W4</ns0:t>
        </ns0:is>
      </ns0:c>
      <ns0:c r="J2" s="22" t="inlineStr">
        <ns0:is>
          <ns0:t>W5</ns0:t>
        </ns0:is>
      </ns0:c>
      <ns0:c r="K2" s="22" t="inlineStr">
        <ns0:is>
          <ns0:t>W6</ns0:t>
        </ns0:is>
      </ns0:c>
      <ns0:c r="L2" s="22" t="inlineStr">
        <ns0:is>
          <ns0:t>W7</ns0:t>
        </ns0:is>
      </ns0:c>
      <ns0:c r="M2" s="22" t="inlineStr">
        <ns0:is>
          <ns0:t>W8</ns0:t>
        </ns0:is>
      </ns0:c>
      <ns0:c r="N2" s="22" t="inlineStr">
        <ns0:is>
          <ns0:t>W9</ns0:t>
        </ns0:is>
      </ns0:c>
      <ns0:c r="O2" s="22" t="inlineStr">
        <ns0:is>
          <ns0:t>W10</ns0:t>
        </ns0:is>
      </ns0:c>
      <ns0:c r="P2" s="22" t="inlineStr">
        <ns0:is>
          <ns0:t>W11</ns0:t>
        </ns0:is>
      </ns0:c>
      <ns0:c r="Q2" s="22" t="inlineStr">
        <ns0:is>
          <ns0:t>W12</ns0:t>
        </ns0:is>
      </ns0:c>
      <ns0:c r="R2" s="22" t="inlineStr">
        <ns0:is>
          <ns0:t>W13</ns0:t>
        </ns0:is>
      </ns0:c>
      <ns0:c r="S2" s="22" t="inlineStr">
        <ns0:is>
          <ns0:t>W14</ns0:t>
        </ns0:is>
      </ns0:c>
      <ns0:c r="T2" s="22" t="inlineStr">
        <ns0:is>
          <ns0:t>W15</ns0:t>
        </ns0:is>
      </ns0:c>
      <ns0:c r="U2" s="22" t="inlineStr">
        <ns0:is>
          <ns0:t>W16</ns0:t>
        </ns0:is>
      </ns0:c>
      <ns0:c r="V2" s="22" t="inlineStr">
        <ns0:is>
          <ns0:t>W17</ns0:t>
        </ns0:is>
      </ns0:c>
      <ns0:c r="W2" s="22" t="inlineStr">
        <ns0:is>
          <ns0:t>W18</ns0:t>
        </ns0:is>
      </ns0:c>
    </ns0:row>
    <ns0:row r="3" ht="20" customHeight="1">
      <ns0:c r="A3" s="23" t="inlineStr">
        <ns0:is>
          <ns0:t>S0 · Decisions, approvals, recruiting</ns0:t>
        </ns0:is>
      </ns0:c>
      <ns0:c r="E3" s="24" t="n"/>
    </ns0:row>
    <ns0:row r="4" ht="20" customHeight="1">
      <ns0:c r="A4" s="23" t="inlineStr">
        <ns0:is>
          <ns0:t>S1 · Schema + RLS</ns0:t>
        </ns0:is>
      </ns0:c>
      <ns0:c r="F4" s="24" t="n"/>
    </ns0:row>
    <ns0:row r="5" ht="20" customHeight="1">
      <ns0:c r="A5" s="23" t="inlineStr">
        <ns0:is>
          <ns0:t>S2 · Auth, roles, settings, audit</ns0:t>
        </ns0:is>
      </ns0:c>
      <ns0:c r="G5" s="25" t="n"/>
    </ns0:row>
    <ns0:row r="6" ht="20" customHeight="1">
      <ns0:c r="A6" s="23" t="inlineStr">
        <ns0:is>
          <ns0:t>S3 · Knowledge: editor, CSV, facts</ns0:t>
        </ns0:is>
      </ns0:c>
      <ns0:c r="H6" s="26" t="n"/>
    </ns0:row>
    <ns0:row r="7" ht="20" customHeight="1">
      <ns0:c r="A7" s="23" t="inlineStr">
        <ns0:is>
          <ns0:t>S4 · Retrieval + review screen</ns0:t>
        </ns0:is>
      </ns0:c>
      <ns0:c r="I7" s="26" t="n"/>
    </ns0:row>
    <ns0:row r="8" ht="20" customHeight="1">
      <ns0:c r="A8" s="23" t="inlineStr">
        <ns0:is>
          <ns0:t>S5 · AI core + eval harness</ns0:t>
        </ns0:is>
      </ns0:c>
      <ns0:c r="J8" s="26" t="n"/>
    </ns0:row>
    <ns0:row r="9" ht="20" customHeight="1">
      <ns0:c r="A9" s="23" t="inlineStr">
        <ns0:is>
          <ns0:t>S6 · Guest web chat</ns0:t>
        </ns0:is>
      </ns0:c>
      <ns0:c r="K9" s="27" t="n"/>
    </ns0:row>
    <ns0:row r="10" ht="20" customHeight="1">
      <ns0:c r="A10" s="23" t="inlineStr">
        <ns0:is>
          <ns0:t>S7 · Staff inbox + AI modes</ns0:t>
        </ns0:is>
      </ns0:c>
      <ns0:c r="L10" s="28" t="n"/>
    </ns0:row>
    <ns0:row r="11" ht="20" customHeight="1">
      <ns0:c r="A11" s="23" t="inlineStr">
        <ns0:is>
          <ns0:t>S8 · Requests + notifications</ns0:t>
        </ns0:is>
      </ns0:c>
      <ns0:c r="M11" s="28" t="n"/>
    </ns0:row>
    <ns0:row r="12" ht="20" customHeight="1">
      <ns0:c r="A12" s="23" t="inlineStr">
        <ns0:is>
          <ns0:t>S9 · Events, rollups, dashboard</ns0:t>
        </ns0:is>
      </ns0:c>
      <ns0:c r="N12" s="29" t="n"/>
    </ns0:row>
    <ns0:row r="13" ht="20" customHeight="1">
      <ns0:c r="A13" s="23" t="inlineStr">
        <ns0:is>
          <ns0:t>S10 · Hardening + dry run</ns0:t>
        </ns0:is>
      </ns0:c>
      <ns0:c r="O13" s="30" t="n"/>
    </ns0:row>
    <ns0:row r="14" ht="20" customHeight="1">
      <ns0:c r="A14" s="23" t="inlineStr">
        <ns0:is>
          <ns0:t>Buffer (W12–13) — absorbs retrieval + content slippage</ns0:t>
        </ns0:is>
      </ns0:c>
      <ns0:c r="P14" s="31" t="n"/>
      <ns0:c r="Q14" s="31" t="n"/>
    </ns0:row>
    <ns0:row r="15" ht="20" customHeight="1">
      <ns0:c r="A15" s="23" t="inlineStr">
        <ns0:is>
          <ns0:t>Pilot live + weekly audits</ns0:t>
        </ns0:is>
      </ns0:c>
      <ns0:c r="R15" s="31" t="n"/>
      <ns0:c r="S15" s="31" t="n"/>
      <ns0:c r="T15" s="31" t="n"/>
      <ns0:c r="U15" s="31" t="n"/>
    </ns0:row>
    <ns0:row r="16" ht="20" customHeight="1">
      <ns0:c r="A16" s="32" t="inlineStr">
        <ns0:is>
          <ns0:t>─ WhatsApp: approvals (external wait)</ns0:t>
        </ns0:is>
      </ns0:c>
      <ns0:c r="E16" s="33" t="n"/>
      <ns0:c r="F16" s="33" t="n"/>
      <ns0:c r="G16" s="33" t="n"/>
      <ns0:c r="H16" s="33" t="n"/>
    </ns0:row>
    <ns0:row r="17" ht="20" customHeight="1">
      <ns0:c r="A17" s="32" t="inlineStr">
        <ns0:is>
          <ns0:t>─ WhatsApp: template submission</ns0:t>
        </ns0:is>
      </ns0:c>
      <ns0:c r="I17" s="33" t="n"/>
    </ns0:row>
    <ns0:row r="18" ht="20" customHeight="1">
      <ns0:c r="A18" s="32" t="inlineStr">
        <ns0:is>
          <ns0:t>─ WhatsApp: adapter build</ns0:t>
        </ns0:is>
      </ns0:c>
      <ns0:c r="R18" s="33" t="n"/>
      <ns0:c r="S18" s="33" t="n"/>
    </ns0:row>
    <ns0:row r="19" ht="20" customHeight="1">
      <ns0:c r="A19" s="32" t="inlineStr">
        <ns0:is>
          <ns0:t>─ WhatsApp: shadow run + live</ns0:t>
        </ns0:is>
      </ns0:c>
      <ns0:c r="T19" s="33" t="n"/>
      <ns0:c r="U19" s="33" t="n"/>
      <ns0:c r="V19" s="33" t="n"/>
      <ns0:c r="W19" s="33" t="n"/>
    </ns0:row>
    <ns0:row r="21" ht="26" customHeight="1">
      <ns0:c r="A21" s="10" t="inlineStr">
        <ns0:is>
          <ns0:t>Milestones</ns0:t>
        </ns0:is>
      </ns0:c>
      <ns0:c r="E21" s="34" t="inlineStr">
        <ns0:is>
          <ns0:t>G0</ns0:t>
        </ns0:is>
      </ns0:c>
      <ns0:c r="H21" s="34" t="inlineStr">
        <ns0:is>
          <ns0:t>G1</ns0:t>
        </ns0:is>
      </ns0:c>
      <ns0:c r="J21" s="34" t="inlineStr">
        <ns0:is>
          <ns0:t>G2</ns0:t>
        </ns0:is>
      </ns0:c>
      <ns0:c r="O21" s="34" t="inlineStr">
        <ns0:is>
          <ns0:t>G3</ns0:t>
        </ns0:is>
      </ns0:c>
      <ns0:c r="S21" s="34" t="inlineStr">
        <ns0:is>
          <ns0:t>Pilot live</ns0:t>
        </ns0:is>
      </ns0:c>
      <ns0:c r="V21" s="34" t="inlineStr">
        <ns0:is>
          <ns0:t>G4</ns0:t>
        </ns0:is>
      </ns0:c>
      <ns0:c r="W21" s="34" t="inlineStr">
        <ns0:is>
          <ns0:t>G5</ns0:t>
        </ns0:is>
      </ns0:c>
    </ns0:row>
    <ns0:row r="23" ht="48" customHeight="1">
      <ns0:c r="A23" s="10" t="inlineStr">
        <ns0:is>
          <ns0:t>Note</ns0:t>
        </ns0:is>
      </ns0:c>
      <ns0:c r="E23" s="35" t="inlineStr">
        <ns0:is>
          <ns0:t>G2 (AI quality) at end of W5 is a hard stop: if it fails, feature work does not proceed. W11 is a real buffer week, not slack — plans without one slip instead of absorbing. The WhatsApp lane is drawn separately because its approval waits cost calendar time, not development time; the 8-day adapter build still lands after the web pilot for a single developer.</ns0:t>
        </ns0:is>
      </ns0:c>
    </ns0:row>
  </ns0:sheetData>
  <ns0:mergeCells count="21">
    <ns0:mergeCell ref="A5:D5"/>
    <ns0:mergeCell ref="A17:D17"/>
    <ns0:mergeCell ref="A8:D8"/>
    <ns0:mergeCell ref="A4:D4"/>
    <ns0:mergeCell ref="A19:D19"/>
    <ns0:mergeCell ref="A10:D10"/>
    <ns0:mergeCell ref="A13:D13"/>
    <ns0:mergeCell ref="A9:D9"/>
    <ns0:mergeCell ref="A15:D15"/>
    <ns0:mergeCell ref="A11:D11"/>
    <ns0:mergeCell ref="A1:D1"/>
    <ns0:mergeCell ref="A6:D6"/>
    <ns0:mergeCell ref="E23:W23"/>
    <ns0:mergeCell ref="A7:D7"/>
    <ns0:mergeCell ref="A16:D16"/>
    <ns0:mergeCell ref="A18:D18"/>
    <ns0:mergeCell ref="A12:D12"/>
    <ns0:mergeCell ref="A3:D3"/>
    <ns0:mergeCell ref="A21:D21"/>
    <ns0:mergeCell ref="A2:D2"/>
    <ns0:mergeCell ref="A14:D14"/>
  </ns0:mergeCells>
  <ns0:pageMargins left="0.75" right="0.75" top="1" bottom="1" header="0.5" footer="0.5"/>
</ns0:worksheet>
</file>

<file path=xl/worksheets/sheet7.xml><?xml version="1.0" encoding="utf-8"?>
<ns0:worksheet xmlns:ns0="http://schemas.openxmlformats.org/spreadsheetml/2006/main">
  <ns0:sheetPr>
    <ns0:tabColor rgb="002E6E6A"/>
    <ns0:outlinePr summaryBelow="1" summaryRight="1"/>
    <ns0:pageSetUpPr/>
  </ns0:sheetPr>
  <ns0:dimension ref="A1:E23"/>
  <ns0:sheetViews>
    <ns0:sheetView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26" customWidth="1" min="1" max="1"/>
    <ns0:col width="62" customWidth="1" min="2" max="2"/>
    <ns0:col width="12" customWidth="1" min="3" max="3"/>
    <ns0:col width="52" customWidth="1" min="4" max="4"/>
    <ns0:col width="18" customWidth="1" min="5" max="5"/>
  </ns0:cols>
  <ns0:sheetData>
    <ns0:row r="1" ht="30" customHeight="1">
      <ns0:c r="A1" s="14" t="inlineStr">
        <ns0:is>
          <ns0:t>Section</ns0:t>
        </ns0:is>
      </ns0:c>
      <ns0:c r="B1" s="14" t="inlineStr">
        <ns0:is>
          <ns0:t>What goes in it</ns0:t>
        </ns0:is>
      </ns0:c>
      <ns0:c r="C1" s="14" t="inlineStr">
        <ns0:is>
          <ns0:t>Min. articles</ns0:t>
        </ns0:is>
      </ns0:c>
      <ns0:c r="D1" s="14" t="inlineStr">
        <ns0:is>
          <ns0:t>Notes</ns0:t>
        </ns0:is>
      </ns0:c>
      <ns0:c r="E1" s="14" t="inlineStr">
        <ns0:is>
          <ns0:t>Owner</ns0:t>
        </ns0:is>
      </ns0:c>
    </ns0:row>
    <ns0:row r="2" ht="44" customHeight="1">
      <ns0:c r="A2" s="8" t="inlineStr">
        <ns0:is>
          <ns0:t>Property basics</ns0:t>
        </ns0:is>
      </ns0:c>
      <ns0:c r="B2" s="8" t="inlineStr">
        <ns0:is>
          <ns0:t>Name, address, how to get here, parking, check-in and check-out times</ns0:t>
        </ns0:is>
      </ns0:c>
      <ns0:c r="C2" s="8" t="inlineStr">
        <ns0:is>
          <ns0:t>3</ns0:t>
        </ns0:is>
      </ns0:c>
      <ns0:c r="D2" s="8" t="inlineStr">
        <ns0:is>
          <ns0:t>Definitely structured facts, not prose. These are your highest-volume questions.</ns0:t>
        </ns0:is>
      </ns0:c>
      <ns0:c r="E2" s="8" t="inlineStr">
        <ns0:is>
          <ns0:t>Hotel</ns0:t>
        </ns0:is>
      </ns0:c>
    </ns0:row>
    <ns0:row r="3" ht="44" customHeight="1">
      <ns0:c r="A3" s="9" t="inlineStr">
        <ns0:is>
          <ns0:t>Amenities &amp; hours</ns0:t>
        </ns0:is>
      </ns0:c>
      <ns0:c r="B3" s="9" t="inlineStr">
        <ns0:is>
          <ns0:t>Pool, gym, spa, beach club, business centre, laundry — with hours and any seasonal variation</ns0:t>
        </ns0:is>
      </ns0:c>
      <ns0:c r="C3" s="9" t="inlineStr">
        <ns0:is>
          <ns0:t>5</ns0:t>
        </ns0:is>
      </ns0:c>
      <ns0:c r="D3" s="9" t="inlineStr">
        <ns0:is>
          <ns0:t>Hours as property_facts with verified_at. Seasonal variants modelled explicitly.</ns0:t>
        </ns0:is>
      </ns0:c>
      <ns0:c r="E3" s="9" t="inlineStr">
        <ns0:is>
          <ns0:t>Hotel</ns0:t>
        </ns0:is>
      </ns0:c>
    </ns0:row>
    <ns0:row r="4" ht="44" customHeight="1">
      <ns0:c r="A4" s="8" t="inlineStr">
        <ns0:is>
          <ns0:t>Policies</ns0:t>
        </ns0:is>
      </ns0:c>
      <ns0:c r="B4" s="8" t="inlineStr">
        <ns0:is>
          <ns0:t>Cancellation, pets, children, smoking, visitors, extra beds, late checkout, deposit</ns0:t>
        </ns0:is>
      </ns0:c>
      <ns0:c r="C4" s="8" t="inlineStr">
        <ns0:is>
          <ns0:t>6</ns0:t>
        </ns0:is>
      </ns0:c>
      <ns0:c r="D4" s="8" t="inlineStr">
        <ns0:is>
          <ns0:t>Raw policies, not marketing versions. Route anything ambiguous to staff.</ns0:t>
        </ns0:is>
      </ns0:c>
      <ns0:c r="E4" s="8" t="inlineStr">
        <ns0:is>
          <ns0:t>Hotel</ns0:t>
        </ns0:is>
      </ns0:c>
    </ns0:row>
    <ns0:row r="5" ht="44" customHeight="1">
      <ns0:c r="A5" s="9" t="inlineStr">
        <ns0:is>
          <ns0:t>Dining</ns0:t>
        </ns0:is>
      </ns0:c>
      <ns0:c r="B5" s="9" t="inlineStr">
        <ns0:is>
          <ns0:t>Restaurants and bars: hours, dress code, reservations, menus, allergens</ns0:t>
        </ns0:is>
      </ns0:c>
      <ns0:c r="C5" s="9" t="inlineStr">
        <ns0:is>
          <ns0:t>4</ns0:t>
        </ns0:is>
      </ns0:c>
      <ns0:c r="D5" s="9" t="inlineStr">
        <ns0:is>
          <ns0:t>Allergen handling always escalates — never let AI answer allergen questions alone.</ns0:t>
        </ns0:is>
      </ns0:c>
      <ns0:c r="E5" s="9" t="inlineStr">
        <ns0:is>
          <ns0:t>Hotel</ns0:t>
        </ns0:is>
      </ns0:c>
    </ns0:row>
    <ns0:row r="6" ht="44" customHeight="1">
      <ns0:c r="A6" s="8" t="inlineStr">
        <ns0:is>
          <ns0:t>Spa &amp; wellness</ns0:t>
        </ns0:is>
      </ns0:c>
      <ns0:c r="B6" s="8" t="inlineStr">
        <ns0:is>
          <ns0:t>Services, durations, prices, booking process</ns0:t>
        </ns0:is>
      </ns0:c>
      <ns0:c r="C6" s="8" t="inlineStr">
        <ns0:is>
          <ns0:t>3</ns0:t>
        </ns0:is>
      </ns0:c>
      <ns0:c r="D6" s="8" t="inlineStr">
        <ns0:is>
          <ns0:t>Prices as facts. Booking always hands off until you have a real booking integration.</ns0:t>
        </ns0:is>
      </ns0:c>
      <ns0:c r="E6" s="8" t="inlineStr">
        <ns0:is>
          <ns0:t>Hotel</ns0:t>
        </ns0:is>
      </ns0:c>
    </ns0:row>
    <ns0:row r="7" ht="44" customHeight="1">
      <ns0:c r="A7" s="9" t="inlineStr">
        <ns0:is>
          <ns0:t>Local recommendations</ns0:t>
        </ns0:is>
      </ns0:c>
      <ns0:c r="B7" s="9" t="inlineStr">
        <ns0:is>
          <ns0:t>Beaches, restaurants, transport, tours, safety, day trips</ns0:t>
        </ns0:is>
      </ns0:c>
      <ns0:c r="C7" s="9" t="inlineStr">
        <ns0:is>
          <ns0:t>6</ns0:t>
        </ns0:is>
      </ns0:c>
      <ns0:c r="D7" s="9" t="inlineStr">
        <ns0:is>
          <ns0:t>Opt-in with a clear boundary: hotel-approved recommendations only, no autonomous web browsing.</ns0:t>
        </ns0:is>
      </ns0:c>
      <ns0:c r="E7" s="9" t="inlineStr">
        <ns0:is>
          <ns0:t>Hotel</ns0:t>
        </ns0:is>
      </ns0:c>
    </ns0:row>
    <ns0:row r="8" ht="44" customHeight="1">
      <ns0:c r="A8" s="8" t="inlineStr">
        <ns0:is>
          <ns0:t>Getting around</ns0:t>
        </ns0:is>
      </ns0:c>
      <ns0:c r="B8" s="8" t="inlineStr">
        <ns0:is>
          <ns0:t>Airport transfer, taxi, car rental, ride apps, parking, shuttles</ns0:t>
        </ns0:is>
      </ns0:c>
      <ns0:c r="C8" s="8" t="inlineStr">
        <ns0:is>
          <ns0:t>3</ns0:t>
        </ns0:is>
      </ns0:c>
      <ns0:c r="D8" s="8" t="inlineStr">
        <ns0:is>
          <ns0:t>A top-10 real-world question set. Verify prices or omit them.</ns0:t>
        </ns0:is>
      </ns0:c>
      <ns0:c r="E8" s="8" t="inlineStr">
        <ns0:is>
          <ns0:t>Hotel</ns0:t>
        </ns0:is>
      </ns0:c>
    </ns0:row>
    <ns0:row r="9" ht="44" customHeight="1">
      <ns0:c r="A9" s="9" t="inlineStr">
        <ns0:is>
          <ns0:t>Troubleshooting</ns0:t>
        </ns0:is>
      </ns0:c>
      <ns0:c r="B9" s="9" t="inlineStr">
        <ns0:is>
          <ns0:t>Wifi, TV, AC, safe, hot water, key cards</ns0:t>
        </ns0:is>
      </ns0:c>
      <ns0:c r="C9" s="9" t="inlineStr">
        <ns0:is>
          <ns0:t>4</ns0:t>
        </ns0:is>
      </ns0:c>
      <ns0:c r="D9" s="9" t="inlineStr">
        <ns0:is>
          <ns0:t>Answer with self-serve steps, but always offer a request if it doesn't resolve.</ns0:t>
        </ns0:is>
      </ns0:c>
      <ns0:c r="E9" s="9" t="inlineStr">
        <ns0:is>
          <ns0:t>Hotel</ns0:t>
        </ns0:is>
      </ns0:c>
    </ns0:row>
    <ns0:row r="10" ht="44" customHeight="1">
      <ns0:c r="A10" s="8" t="inlineStr">
        <ns0:is>
          <ns0:t>Accessibility</ns0:t>
        </ns0:is>
      </ns0:c>
      <ns0:c r="B10" s="8" t="inlineStr">
        <ns0:is>
          <ns0:t>Step-free routes, accessible rooms, equipment, service animals</ns0:t>
        </ns0:is>
      </ns0:c>
      <ns0:c r="C10" s="8" t="inlineStr">
        <ns0:is>
          <ns0:t>2</ns0:t>
        </ns0:is>
      </ns0:c>
      <ns0:c r="D10" s="8" t="inlineStr">
        <ns0:is>
          <ns0:t>Any specific accessibility need escalates to a human. Always.</ns0:t>
        </ns0:is>
      </ns0:c>
      <ns0:c r="E10" s="8" t="inlineStr">
        <ns0:is>
          <ns0:t>Hotel</ns0:t>
        </ns0:is>
      </ns0:c>
    </ns0:row>
    <ns0:row r="11" ht="44" customHeight="1">
      <ns0:c r="A11" s="9" t="inlineStr">
        <ns0:is>
          <ns0:t>Sensitive / escalate</ns0:t>
        </ns0:is>
      </ns0:c>
      <ns0:c r="B11" s="9" t="inlineStr">
        <ns0:is>
          <ns0:t>Medical, safety, security, billing disputes, refunds, complaints</ns0:t>
        </ns0:is>
      </ns0:c>
      <ns0:c r="C11" s="9" t="inlineStr">
        <ns0:is>
          <ns0:t>0</ns0:t>
        </ns0:is>
      </ns0:c>
      <ns0:c r="D11" s="9" t="inlineStr">
        <ns0:is>
          <ns0:t>Do NOT write articles here. Add them to the handoff_reasons taxonomy instead.</ns0:t>
        </ns0:is>
      </ns0:c>
      <ns0:c r="E11" s="9" t="inlineStr">
        <ns0:is>
          <ns0:t>Product</ns0:t>
        </ns0:is>
      </ns0:c>
    </ns0:row>
    <ns0:row r="13">
      <ns0:c r="A13" s="10" t="inlineStr">
        <ns0:is>
          <ns0:t>Target for pilot</ns0:t>
        </ns0:is>
      </ns0:c>
      <ns0:c r="C13" s="11">
        <ns0:f>SUM(C2:C11)</ns0:f>
        <ns0:v>36.0</ns0:v>
      </ns0:c>
      <ns0:c r="D13" s="36" t="inlineStr">
        <ns0:is>
          <ns0:t>Minimum 25 approved articles + 40 verified facts before the pilot opens (G1).</ns0:t>
        </ns0:is>
      </ns0:c>
    </ns0:row>
    <ns0:row r="16" ht="14" customHeight="1">
      <ns0:c r="A16" s="10" t="inlineStr"/>
      <ns0:c r="B16" s="6" t="inlineStr"/>
    </ns0:row>
    <ns0:row r="17" ht="14" customHeight="1">
      <ns0:c r="A17" s="10" t="inlineStr">
        <ns0:is>
          <ns0:t>How to run content collection</ns0:t>
        </ns0:is>
      </ns0:c>
      <ns0:c r="B17" s="6" t="inlineStr"/>
    </ns0:row>
    <ns0:row r="18" ht="34" customHeight="1">
      <ns0:c r="A18" s="10" t="inlineStr">
        <ns0:is>
          <ns0:t>1. Baseline week</ns0:t>
        </ns0:is>
      </ns0:c>
      <ns0:c r="B18" s="6" t="inlineStr">
        <ns0:is>
          <ns0:t>Before writing anything, log one week of real guest questions at the front desk. This is your golden set and your priority order. Do not guess what guests ask.</ns0:t>
        </ns0:is>
      </ns0:c>
    </ns0:row>
    <ns0:row r="19" ht="34" customHeight="1">
      <ns0:c r="A19" s="10" t="inlineStr">
        <ns0:is>
          <ns0:t>2. Write to the template</ns0:t>
        </ns0:is>
      </ns0:c>
      <ns0:c r="B19" s="6" t="inlineStr">
        <ns0:is>
          <ns0:t>One article per topic_key. Owner, languages, verified_at, review_due. Short paragraphs. No marketing copy — the model will quote it.</ns0:t>
        </ns0:is>
      </ns0:c>
    </ns0:row>
    <ns0:row r="20" ht="34" customHeight="1">
      <ns0:c r="A20" s="10" t="inlineStr">
        <ns0:is>
          <ns0:t>3. Extract the facts</ns0:t>
        </ns0:is>
      </ns0:c>
      <ns0:c r="B20" s="6" t="inlineStr">
        <ns0:is>
          <ns0:t>Pull hours, prices, distances and capacities into property_facts. If the source and the fact disagree, the review screen blocks publication until a human resolves it.</ns0:t>
        </ns0:is>
      </ns0:c>
    </ns0:row>
    <ns0:row r="21" ht="34" customHeight="1">
      <ns0:c r="A21" s="10" t="inlineStr">
        <ns0:is>
          <ns0:t>4. Approve explicitly</ns0:t>
        </ns0:is>
      </ns0:c>
      <ns0:c r="B21" s="6" t="inlineStr">
        <ns0:is>
          <ns0:t>Nothing publishes silently. A named hotel employee signs off on hours, prices and policies. That sign-off is your responsibility boundary when something is wrong.</ns0:t>
        </ns0:is>
      </ns0:c>
    </ns0:row>
    <ns0:row r="22" ht="34" customHeight="1">
      <ns0:c r="A22" s="10" t="inlineStr">
        <ns0:is>
          <ns0:t>5. Test before publishing</ns0:t>
        </ns0:is>
      </ns0:c>
      <ns0:c r="B22" s="6" t="inlineStr">
        <ns0:is>
          <ns0:t>Run the golden set against the draft KB. Fix content, not prompts, for any miss. Then use the in-product test chat.</ns0:t>
        </ns0:is>
      </ns0:c>
    </ns0:row>
    <ns0:row r="23" ht="34" customHeight="1">
      <ns0:c r="A23" s="10" t="inlineStr">
        <ns0:is>
          <ns0:t>6. Schedule review</ns0:t>
        </ns0:is>
      </ns0:c>
      <ns0:c r="B23" s="6" t="inlineStr">
        <ns0:is>
          <ns0:t>Facts re-verified every 90 days. Articles reviewed seasonally. A stale hours fact is the most common cause of a bad answer in month three.</ns0:t>
        </ns0:is>
      </ns0:c>
    </ns0:row>
  </ns0:sheetData>
  <ns0:autoFilter ref="A1:E11"/>
  <ns0:mergeCells count="8">
    <ns0:mergeCell ref="B17:E17"/>
    <ns0:mergeCell ref="B18:E18"/>
    <ns0:mergeCell ref="B23:E23"/>
    <ns0:mergeCell ref="B21:E21"/>
    <ns0:mergeCell ref="B16:E16"/>
    <ns0:mergeCell ref="B19:E19"/>
    <ns0:mergeCell ref="B20:E20"/>
    <ns0:mergeCell ref="B22:E22"/>
  </ns0:mergeCells>
  <ns0:pageMargins left="0.75" right="0.75" top="1" bottom="1" header="0.5" footer="0.5"/>
</ns0:worksheet>
</file>

<file path=xl/worksheets/sheet8.xml><?xml version="1.0" encoding="utf-8"?>
<ns0:worksheet xmlns:ns0="http://schemas.openxmlformats.org/spreadsheetml/2006/main">
  <ns0:sheetPr>
    <ns0:tabColor rgb="001F3864"/>
    <ns0:outlinePr summaryBelow="1" summaryRight="1"/>
    <ns0:pageSetUpPr/>
  </ns0:sheetPr>
  <ns0:dimension ref="A1:E15"/>
  <ns0:sheetViews>
    <ns0:sheetView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7" customWidth="1" min="1" max="1"/>
    <ns0:col width="30" customWidth="1" min="2" max="2"/>
    <ns0:col width="62" customWidth="1" min="3" max="3"/>
    <ns0:col width="18" customWidth="1" min="4" max="4"/>
    <ns0:col width="54" customWidth="1" min="5" max="5"/>
  </ns0:cols>
  <ns0:sheetData>
    <ns0:row r="1" ht="30" customHeight="1">
      <ns0:c r="A1" s="7" t="inlineStr">
        <ns0:is>
          <ns0:t>ID</ns0:t>
        </ns0:is>
      </ns0:c>
      <ns0:c r="B1" s="7" t="inlineStr">
        <ns0:is>
          <ns0:t>Decision</ns0:t>
        </ns0:is>
      </ns0:c>
      <ns0:c r="C1" s="7" t="inlineStr">
        <ns0:is>
          <ns0:t>Recommendation</ns0:t>
        </ns0:is>
      </ns0:c>
      <ns0:c r="D1" s="7" t="inlineStr">
        <ns0:is>
          <ns0:t>Reversibility</ns0:t>
        </ns0:is>
      </ns0:c>
      <ns0:c r="E1" s="7" t="inlineStr">
        <ns0:is>
          <ns0:t>Why it matters now</ns0:t>
        </ns0:is>
      </ns0:c>
    </ns0:row>
    <ns0:row r="2" ht="54" customHeight="1">
      <ns0:c r="A2" s="8" t="inlineStr">
        <ns0:is>
          <ns0:t>D1</ns0:t>
        </ns0:is>
      </ns0:c>
      <ns0:c r="B2" s="17" t="inlineStr">
        <ns0:is>
          <ns0:t>Tenancy enforcement</ns0:t>
        </ns0:is>
      </ns0:c>
      <ns0:c r="C2" s="8" t="inlineStr">
        <ns0:is>
          <ns0:t>Postgres RLS on every tenant table AND app-layer guards. Both, with a CI isolation suite.</ns0:t>
        </ns0:is>
      </ns0:c>
      <ns0:c r="D2" s="16" t="inlineStr">
        <ns0:is>
          <ns0:t>Hard to add later</ns0:t>
        </ns0:is>
      </ns0:c>
      <ns0:c r="E2" s="8" t="inlineStr">
        <ns0:is>
          <ns0:t>A leak is existential for a group sale. Retrofitting RLS across 25 tables after launch is a week of risk.</ns0:t>
        </ns0:is>
      </ns0:c>
    </ns0:row>
    <ns0:row r="3" ht="54" customHeight="1">
      <ns0:c r="A3" s="9" t="inlineStr">
        <ns0:is>
          <ns0:t>D2</ns0:t>
        </ns0:is>
      </ns0:c>
      <ns0:c r="B3" s="18" t="inlineStr">
        <ns0:is>
          <ns0:t>Retrieval strategy</ns0:t>
        </ns0:is>
      </ns0:c>
      <ns0:c r="C3" s="9" t="inlineStr">
        <ns0:is>
          <ns0:t>Postgres FTS + trigram + pgvector column populated from day one. Ranking starts simple.</ns0:t>
        </ns0:is>
      </ns0:c>
      <ns0:c r="D3" s="19" t="inlineStr">
        <ns0:is>
          <ns0:t>Easy to tune</ns0:t>
        </ns0:is>
      </ns0:c>
      <ns0:c r="E3" s="9" t="inlineStr">
        <ns0:is>
          <ns0:t>Multilingual guests against single-language content break pure FTS. Adding the column costs nothing; adding it later means re-embedding everything.</ns0:t>
        </ns0:is>
      </ns0:c>
    </ns0:row>
    <ns0:row r="4" ht="54" customHeight="1">
      <ns0:c r="A4" s="8" t="inlineStr">
        <ns0:is>
          <ns0:t>D3</ns0:t>
        </ns0:is>
      </ns0:c>
      <ns0:c r="B4" s="17" t="inlineStr">
        <ns0:is>
          <ns0:t>Embeddings</ns0:t>
        </ns0:is>
      </ns0:c>
      <ns0:c r="C4" s="8" t="inlineStr">
        <ns0:is>
          <ns0:t>Store from day one even if ranking ignores them initially.</ns0:t>
        </ns0:is>
      </ns0:c>
      <ns0:c r="D4" s="19" t="inlineStr">
        <ns0:is>
          <ns0:t>Easy</ns0:t>
        </ns0:is>
      </ns0:c>
      <ns0:c r="E4" s="8" t="inlineStr">
        <ns0:is>
          <ns0:t>The data is only available if you captured it.</ns0:t>
        </ns0:is>
      </ns0:c>
    </ns0:row>
    <ns0:row r="5" ht="54" customHeight="1">
      <ns0:c r="A5" s="9" t="inlineStr">
        <ns0:is>
          <ns0:t>D4</ns0:t>
        </ns0:is>
      </ns0:c>
      <ns0:c r="B5" s="18" t="inlineStr">
        <ns0:is>
          <ns0:t>AI output contract</ns0:t>
        </ns0:is>
      </ns0:c>
      <ns0:c r="C5" s="9" t="inlineStr">
        <ns0:is>
          <ns0:t>Structured JSON: decision, answer, citations, reason_code, confidence.</ns0:t>
        </ns0:is>
      </ns0:c>
      <ns0:c r="D5" s="16" t="inlineStr">
        <ns0:is>
          <ns0:t>Hard</ns0:t>
        </ns0:is>
      </ns0:c>
      <ns0:c r="E5" s="9" t="inlineStr">
        <ns0:is>
          <ns0:t>Free-text output cannot be gated, scored, or audited.</ns0:t>
        </ns0:is>
      </ns0:c>
    </ns0:row>
    <ns0:row r="6" ht="54" customHeight="1">
      <ns0:c r="A6" s="8" t="inlineStr">
        <ns0:is>
          <ns0:t>D5</ns0:t>
        </ns0:is>
      </ns0:c>
      <ns0:c r="B6" s="17" t="inlineStr">
        <ns0:is>
          <ns0:t>Citation granularity</ns0:t>
        </ns0:is>
      </ns0:c>
      <ns0:c r="C6" s="8" t="inlineStr">
        <ns0:is>
          <ns0:t>Cite article_version_id, not article_id.</ns0:t>
        </ns0:is>
      </ns0:c>
      <ns0:c r="D6" s="16" t="inlineStr">
        <ns0:is>
          <ns0:t>Hard</ns0:t>
        </ns0:is>
      </ns0:c>
      <ns0:c r="E6" s="8" t="inlineStr">
        <ns0:is>
          <ns0:t>Historical answers must resolve to the exact text the model saw, or 'show me the source' is unanswerable during an audit.</ns0:t>
        </ns0:is>
      </ns0:c>
    </ns0:row>
    <ns0:row r="7" ht="54" customHeight="1">
      <ns0:c r="A7" s="9" t="inlineStr">
        <ns0:is>
          <ns0:t>D6</ns0:t>
        </ns0:is>
      </ns0:c>
      <ns0:c r="B7" s="18" t="inlineStr">
        <ns0:is>
          <ns0:t>AI operating modes</ns0:t>
        </ns0:is>
      </ns0:c>
      <ns0:c r="C7" s="9" t="inlineStr">
        <ns0:is>
          <ns0:t>Four modes per property: Auto, Draft, Human-only, After-hours.</ns0:t>
        </ns0:is>
      </ns0:c>
      <ns0:c r="D7" s="19" t="inlineStr">
        <ns0:is>
          <ns0:t>Easy</ns0:t>
        </ns0:is>
      </ns0:c>
      <ns0:c r="E7" s="9" t="inlineStr">
        <ns0:is>
          <ns0:t>Sells to nervous buyers, and gives you a graceful production downgrade path.</ns0:t>
        </ns0:is>
      </ns0:c>
    </ns0:row>
    <ns0:row r="8" ht="54" customHeight="1">
      <ns0:c r="A8" s="8" t="inlineStr">
        <ns0:is>
          <ns0:t>D7</ns0:t>
        </ns0:is>
      </ns0:c>
      <ns0:c r="B8" s="17" t="inlineStr">
        <ns0:is>
          <ns0:t>Message sending</ns0:t>
        </ns0:is>
      </ns0:c>
      <ns0:c r="C8" s="8" t="inlineStr">
        <ns0:is>
          <ns0:t>Transactional outbox + worker + exponential backoff + DLQ.</ns0:t>
        </ns0:is>
      </ns0:c>
      <ns0:c r="D8" s="19" t="inlineStr">
        <ns0:is>
          <ns0:t>Easy</ns0:t>
        </ns0:is>
      </ns0:c>
      <ns0:c r="E8" s="8" t="inlineStr">
        <ns0:is>
          <ns0:t>Never send inside a request handler. Provider outages are normal, not exceptional.</ns0:t>
        </ns0:is>
      </ns0:c>
    </ns0:row>
    <ns0:row r="9" ht="54" customHeight="1">
      <ns0:c r="A9" s="9" t="inlineStr">
        <ns0:is>
          <ns0:t>D8</ns0:t>
        </ns0:is>
      </ns0:c>
      <ns0:c r="B9" s="18" t="inlineStr">
        <ns0:is>
          <ns0:t>Webhook handling</ns0:t>
        </ns0:is>
      </ns0:c>
      <ns0:c r="C9" s="9" t="inlineStr">
        <ns0:is>
          <ns0:t>Dedupe on provider message ID, ack fast (&lt;3s), process async.</ns0:t>
        </ns0:is>
      </ns0:c>
      <ns0:c r="D9" s="19" t="inlineStr">
        <ns0:is>
          <ns0:t>Easy</ns0:t>
        </ns0:is>
      </ns0:c>
      <ns0:c r="E9" s="9" t="inlineStr">
        <ns0:is>
          <ns0:t>Providers replay. Duplicated guest messages destroy trust in the first hour.</ns0:t>
        </ns0:is>
      </ns0:c>
    </ns0:row>
    <ns0:row r="10" ht="54" customHeight="1">
      <ns0:c r="A10" s="8" t="inlineStr">
        <ns0:is>
          <ns0:t>D9</ns0:t>
        </ns0:is>
      </ns0:c>
      <ns0:c r="B10" s="17" t="inlineStr">
        <ns0:is>
          <ns0:t>Staff notifications</ns0:t>
        </ns0:is>
      </ns0:c>
      <ns0:c r="C10" s="8" t="inlineStr">
        <ns0:is>
          <ns0:t>Email + phone-first inbox + signed outbound webhook.</ns0:t>
        </ns0:is>
      </ns0:c>
      <ns0:c r="D10" s="19" t="inlineStr">
        <ns0:is>
          <ns0:t>Easy</ns0:t>
        </ns0:is>
      </ns0:c>
      <ns0:c r="E10" s="8" t="inlineStr">
        <ns0:is>
          <ns0:t>A shared inbox nobody checks is worse than no inbox.</ns0:t>
        </ns0:is>
      </ns0:c>
    </ns0:row>
    <ns0:row r="11" ht="54" customHeight="1">
      <ns0:c r="A11" s="9" t="inlineStr">
        <ns0:is>
          <ns0:t>D10</ns0:t>
        </ns0:is>
      </ns0:c>
      <ns0:c r="B11" s="18" t="inlineStr">
        <ns0:is>
          <ns0:t>Analytics</ns0:t>
        </ns0:is>
      </ns0:c>
      <ns0:c r="C11" s="9" t="inlineStr">
        <ns0:is>
          <ns0:t>Append-only events table + nightly SQL rollups. No second pipeline.</ns0:t>
        </ns0:is>
      </ns0:c>
      <ns0:c r="D11" s="19" t="inlineStr">
        <ns0:is>
          <ns0:t>Easy</ns0:t>
        </ns0:is>
      </ns0:c>
      <ns0:c r="E11" s="9" t="inlineStr">
        <ns0:is>
          <ns0:t>Every dashboard number must be traceable to rows. This keeps it that way.</ns0:t>
        </ns0:is>
      </ns0:c>
    </ns0:row>
    <ns0:row r="12" ht="54" customHeight="1">
      <ns0:c r="A12" s="8" t="inlineStr">
        <ns0:is>
          <ns0:t>D11</ns0:t>
        </ns0:is>
      </ns0:c>
      <ns0:c r="B12" s="17" t="inlineStr">
        <ns0:is>
          <ns0:t>WhatsApp provider</ns0:t>
        </ns0:is>
      </ns0:c>
      <ns0:c r="C12" s="8" t="inlineStr">
        <ns0:is>
          <ns0:t>Direct Cloud API or a BSP with Embedded Signup. Hotel must own its number.</ns0:t>
        </ns0:is>
      </ns0:c>
      <ns0:c r="D12" s="16" t="inlineStr">
        <ns0:is>
          <ns0:t>Hard</ns0:t>
        </ns0:is>
      </ns0:c>
      <ns0:c r="E12" s="8" t="inlineStr">
        <ns0:is>
          <ns0:t>Locking a group into your BSP's number is a procurement objection you cannot argue away.</ns0:t>
        </ns0:is>
      </ns0:c>
    </ns0:row>
    <ns0:row r="13" ht="54" customHeight="1">
      <ns0:c r="A13" s="9" t="inlineStr">
        <ns0:is>
          <ns0:t>D12</ns0:t>
        </ns0:is>
      </ns0:c>
      <ns0:c r="B13" s="18" t="inlineStr">
        <ns0:is>
          <ns0:t>LLM provider</ns0:t>
        </ns0:is>
      </ns0:c>
      <ns0:c r="C13" s="9" t="inlineStr">
        <ns0:is>
          <ns0:t>One primary + one fallback behind an internal interface. Per-property model config.</ns0:t>
        </ns0:is>
      </ns0:c>
      <ns0:c r="D13" s="19" t="inlineStr">
        <ns0:is>
          <ns0:t>Easy</ns0:t>
        </ns0:is>
      </ns0:c>
      <ns0:c r="E13" s="9" t="inlineStr">
        <ns0:is>
          <ns0:t>Model prices and capabilities move monthly. Never let one SDK shape the codebase.</ns0:t>
        </ns0:is>
      </ns0:c>
    </ns0:row>
    <ns0:row r="14" ht="54" customHeight="1">
      <ns0:c r="A14" s="8" t="inlineStr">
        <ns0:is>
          <ns0:t>D13</ns0:t>
        </ns0:is>
      </ns0:c>
      <ns0:c r="B14" s="17" t="inlineStr">
        <ns0:is>
          <ns0:t>File storage</ns0:t>
        </ns0:is>
      </ns0:c>
      <ns0:c r="C14" s="8" t="inlineStr">
        <ns0:is>
          <ns0:t>Object storage + signed URLs + virus scan on upload.</ns0:t>
        </ns0:is>
      </ns0:c>
      <ns0:c r="D14" s="19" t="inlineStr">
        <ns0:is>
          <ns0:t>Easy</ns0:t>
        </ns0:is>
      </ns0:c>
      <ns0:c r="E14" s="8" t="inlineStr">
        <ns0:is>
          <ns0:t>Hotel-uploaded PDFs are the least trustworthy inbound content you will accept.</ns0:t>
        </ns0:is>
      </ns0:c>
    </ns0:row>
    <ns0:row r="15" ht="54" customHeight="1">
      <ns0:c r="A15" s="9" t="inlineStr">
        <ns0:is>
          <ns0:t>D14</ns0:t>
        </ns0:is>
      </ns0:c>
      <ns0:c r="B15" s="18" t="inlineStr">
        <ns0:is>
          <ns0:t>Staff i18n</ns0:t>
        </ns0:is>
      </ns0:c>
      <ns0:c r="C15" s="9" t="inlineStr">
        <ns0:is>
          <ns0:t>String catalogue from commit #1. Spanish + English at launch.</ns0:t>
        </ns0:is>
      </ns0:c>
      <ns0:c r="D15" s="19" t="inlineStr">
        <ns0:is>
          <ns0:t>Expensive later</ns0:t>
        </ns0:is>
      </ns0:c>
      <ns0:c r="E15" s="9" t="inlineStr">
        <ns0:is>
          <ns0:t>An English-only back office in Mexico gets half-adopted and quietly resented.</ns0:t>
        </ns0:is>
      </ns0:c>
    </ns0:row>
  </ns0:sheetData>
  <ns0:autoFilter ref="A1:E15"/>
  <ns0:pageMargins left="0.75" right="0.75" top="1" bottom="1" header="0.5" footer="0.5"/>
</ns0:worksheet>
</file>

<file path=xl/worksheets/sheet9.xml><?xml version="1.0" encoding="utf-8"?>
<ns0:worksheet xmlns:ns0="http://schemas.openxmlformats.org/spreadsheetml/2006/main">
  <ns0:sheetPr>
    <ns0:tabColor rgb="007F6000"/>
    <ns0:outlinePr summaryBelow="1" summaryRight="1"/>
    <ns0:pageSetUpPr/>
  </ns0:sheetPr>
  <ns0:dimension ref="A1:E44"/>
  <ns0:sheetViews>
    <ns0:sheetView workbookViewId="0">
      <ns0:selection activeCell="A1" sqref="A1"/>
    </ns0:sheetView>
  </ns0:sheetViews>
  <ns0:sheetFormatPr baseColWidth="8" defaultRowHeight="15"/>
  <ns0:cols>
    <ns0:col width="46" customWidth="1" min="1" max="1"/>
    <ns0:col width="16" customWidth="1" min="2" max="2"/>
    <ns0:col width="16" customWidth="1" min="3" max="3"/>
    <ns0:col width="16" customWidth="1" min="4" max="4"/>
    <ns0:col width="16" customWidth="1" min="5" max="5"/>
    <ns0:col width="16" customWidth="1" min="6" max="6"/>
  </ns0:cols>
  <ns0:sheetData>
    <ns0:row r="1">
      <ns0:c r="A1" s="37" t="inlineStr">
        <ns0:is>
          <ns0:t>Effort, cost and unit economics</ns0:t>
        </ns0:is>
      </ns0:c>
    </ns0:row>
    <ns0:row r="2">
      <ns0:c r="A2" s="38" t="inlineStr">
        <ns0:is>
          <ns0:t>Yellow cells are inputs — edit them and the totals recalculate.</ns0:t>
        </ns0:is>
      </ns0:c>
    </ns0:row>
    <ns0:row r="4" ht="22" customHeight="1">
      <ns0:c r="A4" s="39" t="inlineStr">
        <ns0:is>
          <ns0:t>A. Build effort — measured from the master backlog</ns0:t>
        </ns0:is>
      </ns0:c>
    </ns0:row>
    <ns0:row r="5">
      <ns0:c r="A5" s="40" t="inlineStr">
        <ns0:is>
          <ns0:t>Workstream</ns0:t>
        </ns0:is>
      </ns0:c>
      <ns0:c r="B5" s="40" t="inlineStr">
        <ns0:is>
          <ns0:t>Dev-days</ns0:t>
        </ns0:is>
      </ns0:c>
      <ns0:c r="C5" s="40" t="inlineStr">
        <ns0:is>
          <ns0:t>Calendar weeks</ns0:t>
        </ns0:is>
      </ns0:c>
      <ns0:c r="D5" s="40" t="inlineStr">
        <ns0:is>
          <ns0:t>Note</ns0:t>
        </ns0:is>
      </ns0:c>
    </ns0:row>
    <ns0:row r="6">
      <ns0:c r="A6" s="36" t="inlineStr">
        <ns0:is>
          <ns0:t>W00 Foundation lock</ns0:t>
        </ns0:is>
      </ns0:c>
      <ns0:c r="B6" s="41" t="n">
        <ns0:v>8</ns0:v>
      </ns0:c>
      <ns0:c r="C6" s="42" t="n">
        <ns0:v>1.6</ns0:v>
      </ns0:c>
      <ns0:c r="D6" s="38" t="inlineStr">
        <ns0:is>
          <ns0:t>Over-subscribed: 8.0 days in a 5-day week. Fits only with two people in parallel</ns0:t>
        </ns0:is>
      </ns0:c>
    </ns0:row>
    <ns0:row r="7">
      <ns0:c r="A7" s="36" t="inlineStr">
        <ns0:is>
          <ns0:t>S01 Schema + RLS</ns0:t>
        </ns0:is>
      </ns0:c>
      <ns0:c r="B7" s="41" t="n">
        <ns0:v>5.75</ns0:v>
      </ns0:c>
      <ns0:c r="C7" s="42" t="n">
        <ns0:v>1.15</ns0:v>
      </ns0:c>
    </ns0:row>
    <ns0:row r="8">
      <ns0:c r="A8" s="36" t="inlineStr">
        <ns0:is>
          <ns0:t>S02 Identity, settings, audit</ns0:t>
        </ns0:is>
      </ns0:c>
      <ns0:c r="B8" s="41" t="n">
        <ns0:v>5.5</ns0:v>
      </ns0:c>
      <ns0:c r="C8" s="42" t="n">
        <ns0:v>1.1</ns0:v>
      </ns0:c>
    </ns0:row>
    <ns0:row r="9">
      <ns0:c r="A9" s="36" t="inlineStr">
        <ns0:is>
          <ns0:t>S03 Knowledge</ns0:t>
        </ns0:is>
      </ns0:c>
      <ns0:c r="B9" s="41" t="n">
        <ns0:v>5</ns0:v>
      </ns0:c>
      <ns0:c r="C9" s="42" t="n">
        <ns0:v>1</ns0:v>
      </ns0:c>
    </ns0:row>
    <ns0:row r="10">
      <ns0:c r="A10" s="36" t="inlineStr">
        <ns0:is>
          <ns0:t>S04 Retrieval + review</ns0:t>
        </ns0:is>
      </ns0:c>
      <ns0:c r="B10" s="41" t="n">
        <ns0:v>5</ns0:v>
      </ns0:c>
      <ns0:c r="C10" s="42" t="n">
        <ns0:v>1</ns0:v>
      </ns0:c>
    </ns0:row>
    <ns0:row r="11">
      <ns0:c r="A11" s="36" t="inlineStr">
        <ns0:is>
          <ns0:t>S05 AI core</ns0:t>
        </ns0:is>
      </ns0:c>
      <ns0:c r="B11" s="41" t="n">
        <ns0:v>5.5</ns0:v>
      </ns0:c>
      <ns0:c r="C11" s="42" t="n">
        <ns0:v>1.1</ns0:v>
      </ns0:c>
    </ns0:row>
    <ns0:row r="12">
      <ns0:c r="A12" s="36" t="inlineStr">
        <ns0:is>
          <ns0:t>S06 Guest chat + eval harness</ns0:t>
        </ns0:is>
      </ns0:c>
      <ns0:c r="B12" s="41" t="n">
        <ns0:v>5</ns0:v>
      </ns0:c>
      <ns0:c r="C12" s="42" t="n">
        <ns0:v>1</ns0:v>
      </ns0:c>
    </ns0:row>
    <ns0:row r="13">
      <ns0:c r="A13" s="36" t="inlineStr">
        <ns0:is>
          <ns0:t>S07 Chat hardening</ns0:t>
        </ns0:is>
      </ns0:c>
      <ns0:c r="B13" s="41" t="n">
        <ns0:v>4</ns0:v>
      </ns0:c>
      <ns0:c r="C13" s="42" t="n">
        <ns0:v>0.8</ns0:v>
      </ns0:c>
    </ns0:row>
    <ns0:row r="14">
      <ns0:c r="A14" s="36" t="inlineStr">
        <ns0:is>
          <ns0:t>S08 Staff inbox</ns0:t>
        </ns0:is>
      </ns0:c>
      <ns0:c r="B14" s="41" t="n">
        <ns0:v>5.5</ns0:v>
      </ns0:c>
      <ns0:c r="C14" s="42" t="n">
        <ns0:v>1.1</ns0:v>
      </ns0:c>
    </ns0:row>
    <ns0:row r="15">
      <ns0:c r="A15" s="36" t="inlineStr">
        <ns0:is>
          <ns0:t>S09 Requests + notifications</ns0:t>
        </ns0:is>
      </ns0:c>
      <ns0:c r="B15" s="41" t="n">
        <ns0:v>4.5</ns0:v>
      </ns0:c>
      <ns0:c r="C15" s="42" t="n">
        <ns0:v>0.9</ns0:v>
      </ns0:c>
    </ns0:row>
    <ns0:row r="16">
      <ns0:c r="A16" s="36" t="inlineStr">
        <ns0:is>
          <ns0:t>S10 Analytics</ns0:t>
        </ns0:is>
      </ns0:c>
      <ns0:c r="B16" s="41" t="n">
        <ns0:v>4.5</ns0:v>
      </ns0:c>
      <ns0:c r="C16" s="42" t="n">
        <ns0:v>0.9</ns0:v>
      </ns0:c>
    </ns0:row>
    <ns0:row r="17">
      <ns0:c r="A17" s="36" t="inlineStr">
        <ns0:is>
          <ns0:t>S11 Reliability</ns0:t>
        </ns0:is>
      </ns0:c>
      <ns0:c r="B17" s="41" t="n">
        <ns0:v>5</ns0:v>
      </ns0:c>
      <ns0:c r="C17" s="42" t="n">
        <ns0:v>1</ns0:v>
      </ns0:c>
    </ns0:row>
    <ns0:row r="18">
      <ns0:c r="A18" s="36" t="inlineStr">
        <ns0:is>
          <ns0:t>S12 Pilot readiness</ns0:t>
        </ns0:is>
      </ns0:c>
      <ns0:c r="B18" s="41" t="n">
        <ns0:v>4.5</ns0:v>
      </ns0:c>
      <ns0:c r="C18" s="42" t="n">
        <ns0:v>0.9</ns0:v>
      </ns0:c>
    </ns0:row>
    <ns0:row r="19">
      <ns0:c r="A19" s="36" t="inlineStr">
        <ns0:is>
          <ns0:t>S13 Launch</ns0:t>
        </ns0:is>
      </ns0:c>
      <ns0:c r="B19" s="41" t="n">
        <ns0:v>2</ns0:v>
      </ns0:c>
      <ns0:c r="C19" s="42" t="n">
        <ns0:v>0.4</ns0:v>
      </ns0:c>
      <ns0:c r="D19" s="38" t="inlineStr">
        <ns0:is>
          <ns0:t>Launch: training, content fixes, go/no-go. ~3 days of carry-forward room remains</ns0:t>
        </ns0:is>
      </ns0:c>
    </ns0:row>
    <ns0:row r="20">
      <ns0:c r="A20" s="10" t="inlineStr">
        <ns0:is>
          <ns0:t>Total — lean pilot path</ns0:t>
        </ns0:is>
      </ns0:c>
      <ns0:c r="B20" s="43">
        <ns0:f>SUM(B6:B19)</ns0:f>
        <ns0:v>69.75</ns0:v>
      </ns0:c>
      <ns0:c r="C20" s="10" t="inlineStr">
        <ns0:is>
          <ns0:t>13.95 weeks of work across 14 sprints</ns0:t>
        </ns0:is>
      </ns0:c>
    </ns0:row>
    <ns0:row r="21">
      <ns0:c r="A21" s="44" t="inlineStr">
        <ns0:is>
          <ns0:t xml:space="preserve">  plus: WhatsApp track (post-pilot)</ns0:t>
        </ns0:is>
      </ns0:c>
      <ns0:c r="B21" s="45" t="n">
        <ns0:v>7.75</ns0:v>
      </ns0:c>
      <ns0:c r="D21" s="38" t="inlineStr">
        <ns0:is>
          <ns0:t>Built in W14–16; cannot run in parallel for one developer</ns0:t>
        </ns0:is>
      </ns0:c>
    </ns0:row>
    <ns0:row r="22">
      <ns0:c r="A22" s="44" t="inlineStr">
        <ns0:is>
          <ns0:t xml:space="preserve">  plus: deferred to MVP-1.5</ns0:t>
        </ns0:is>
      </ns0:c>
      <ns0:c r="B22" s="45" t="n">
        <ns0:v>1.5</ns0:v>
      </ns0:c>
      <ns0:c r="D22" s="38" t="inlineStr">
        <ns0:is>
          <ns0:t>Outbound webhook, opportunity click tracking</ns0:t>
        </ns0:is>
      </ns0:c>
    </ns0:row>
    <ns0:row r="23">
      <ns0:c r="A23" s="10" t="inlineStr">
        <ns0:is>
          <ns0:t>Total backlog (80 items)</ns0:t>
        </ns0:is>
      </ns0:c>
      <ns0:c r="B23" s="46">
        <ns0:f>B20+B21+B22</ns0:f>
        <ns0:v>79.0</ns0:v>
      </ns0:c>
    </ns0:row>
    <ns0:row r="24">
      <ns0:c r="A24" s="36" t="inlineStr">
        <ns0:is>
          <ns0:t>Capacity: 14 sprints × 5 productive days</ns0:t>
        </ns0:is>
      </ns0:c>
      <ns0:c r="B24" s="36" t="n">
        <ns0:v>70</ns0:v>
      </ns0:c>
      <ns0:c r="D24" s="38" t="inlineStr">
        <ns0:is>
          <ns0:t>Unallocated 0.25 days. W13 holds ~3 days of carry-forward room</ns0:t>
        </ns0:is>
      </ns0:c>
    </ns0:row>
    <ns0:row r="27" ht="22" customHeight="1">
      <ns0:c r="A27" s="39" t="inlineStr">
        <ns0:is>
          <ns0:t>B. Rates and non-build costs</ns0:t>
        </ns0:is>
      </ns0:c>
    </ns0:row>
    <ns0:row r="28" ht="26" customHeight="1">
      <ns0:c r="A28" s="36" t="inlineStr">
        <ns0:is>
          <ns0:t>Developer day rate (USD)</ns0:t>
        </ns0:is>
      </ns0:c>
      <ns0:c r="B28" s="47" t="n">
        <ns0:v>550</ns0:v>
      </ns0:c>
      <ns0:c r="C28" s="48" t="inlineStr">
        <ns0:is>
          <ns0:t>Blended; adjust to your market. Solo founder = opportunity cost, not cash.</ns0:t>
        </ns0:is>
      </ns0:c>
    </ns0:row>
    <ns0:row r="29" ht="26" customHeight="1">
      <ns0:c r="A29" s="36" t="inlineStr">
        <ns0:is>
          <ns0:t>Design (days)</ns0:t>
        </ns0:is>
      </ns0:c>
      <ns0:c r="B29" s="47" t="n">
        <ns0:v>6</ns0:v>
      </ns0:c>
      <ns0:c r="C29" s="48" t="inlineStr">
        <ns0:is>
          <ns0:t>Guest chat + staff inbox. Contract it; don't improvise.</ns0:t>
        </ns0:is>
      </ns0:c>
    </ns0:row>
    <ns0:row r="30" ht="26" customHeight="1">
      <ns0:c r="A30" s="36" t="inlineStr">
        <ns0:is>
          <ns0:t>Legal / compliance review (USD)</ns0:t>
        </ns0:is>
      </ns0:c>
      <ns0:c r="B30" s="47" t="n">
        <ns0:v>1800</ns0:v>
      </ns0:c>
      <ns0:c r="C30" s="48" t="inlineStr">
        <ns0:is>
          <ns0:t>LFPDPPP 2025 privacy notice + DPA + WhatsApp terms review.</ns0:t>
        </ns0:is>
      </ns0:c>
    </ns0:row>
    <ns0:row r="31" ht="26" customHeight="1">
      <ns0:c r="A31" s="36" t="inlineStr">
        <ns0:is>
          <ns0:t>Managed services, build months (USD/mo)</ns0:t>
        </ns0:is>
      </ns0:c>
      <ns0:c r="B31" s="47" t="n">
        <ns0:v>120</ns0:v>
      </ns0:c>
      <ns0:c r="C31" s="48" t="inlineStr">
        <ns0:is>
          <ns0:t>Postgres, hosting, storage, error tracking, CI.</ns0:t>
        </ns0:is>
      </ns0:c>
    </ns0:row>
    <ns0:row r="33" ht="22" customHeight="1">
      <ns0:c r="A33" s="39" t="inlineStr">
        <ns0:is>
          <ns0:t>C. One-time build cost</ns0:t>
        </ns0:is>
      </ns0:c>
    </ns0:row>
    <ns0:row r="34">
      <ns0:c r="A34" s="36" t="inlineStr">
        <ns0:is>
          <ns0:t>Development</ns0:t>
        </ns0:is>
      </ns0:c>
      <ns0:c r="B34" s="49">
        <ns0:f>B23*B28</ns0:f>
        <ns0:v>43450.0</ns0:v>
      </ns0:c>
    </ns0:row>
    <ns0:row r="35">
      <ns0:c r="A35" s="36" t="inlineStr">
        <ns0:is>
          <ns0:t>Design</ns0:t>
        </ns0:is>
      </ns0:c>
      <ns0:c r="B35" s="49">
        <ns0:f>B29*B28</ns0:f>
        <ns0:v>3300.0</ns0:v>
      </ns0:c>
    </ns0:row>
    <ns0:row r="36">
      <ns0:c r="A36" s="36" t="inlineStr">
        <ns0:is>
          <ns0:t>Legal / compliance</ns0:t>
        </ns0:is>
      </ns0:c>
      <ns0:c r="B36" s="49">
        <ns0:f>B30</ns0:f>
        <ns0:v>1800</ns0:v>
      </ns0:c>
    </ns0:row>
    <ns0:row r="37">
      <ns0:c r="A37" s="36" t="inlineStr">
        <ns0:is>
          <ns0:t>Managed services (2 months)</ns0:t>
        </ns0:is>
      </ns0:c>
      <ns0:c r="B37" s="49">
        <ns0:f>B31*2</ns0:f>
        <ns0:v>240.0</ns0:v>
      </ns0:c>
    </ns0:row>
    <ns0:row r="38">
      <ns0:c r="A38" s="10" t="inlineStr">
        <ns0:is>
          <ns0:t>Total one-time</ns0:t>
        </ns0:is>
      </ns0:c>
      <ns0:c r="B38" s="50">
        <ns0:f>SUM(B34:B37)</ns0:f>
        <ns0:v>48790.0</ns0:v>
      </ns0:c>
    </ns0:row>
    <ns0:row r="40" ht="22" customHeight="1">
      <ns0:c r="A40" s="39" t="inlineStr">
        <ns0:is>
          <ns0:t>D. Per-property unit economics — moved</ns0:t>
        </ns0:is>
      </ns0:c>
    </ns0:row>
    <ns0:row r="41" ht="40" customHeight="1">
      <ns0:c r="A41" s="10" t="inlineStr">
        <ns0:is>
          <ns0:t>Where it lives now</ns0:t>
        </ns0:is>
      </ns0:c>
      <ns0:c r="B41" s="6" t="inlineStr">
        <ns0:is>
          <ns0:t>03-financial-model.xlsx — a live model with editable inputs, four property archetypes, pricing, a 24-month projection, three funding scenarios, sensitivity and buyer-side ROI.</ns0:t>
        </ns0:is>
      </ns0:c>
    </ns0:row>
    <ns0:row r="42" ht="40" customHeight="1">
      <ns0:c r="A42" s="10" t="inlineStr">
        <ns0:is>
          <ns0:t>Why it moved</ns0:t>
        </ns0:is>
      </ns0:c>
      <ns0:c r="B42" s="6" t="inlineStr">
        <ns0:is>
          <ns0:t>The earlier rough version in this sheet assumed a flat LLM cost, ignored support labour, and used a different conversation volume. It disagreed with the real model. Keeping two sets of numbers in one deck is how plans lose credibility in review.</ns0:t>
        </ns0:is>
      </ns0:c>
    </ns0:row>
    <ns0:row r="43" ht="40" customHeight="1">
      <ns0:c r="A43" s="10" t="inlineStr">
        <ns0:is>
          <ns0:t>In one line</ns0:t>
        </ns0:is>
      </ns0:c>
      <ns0:c r="B43" s="6" t="inlineStr">
        <ns0:is>
          <ns0:t>Gross margin is 78–85% at every property size. Support labour is 37–56% of COGS; LLM is 5–15%. That is the whole cost story.</ns0:t>
        </ns0:is>
      </ns0:c>
    </ns0:row>
    <ns0:row r="44" ht="40" customHeight="1">
      <ns0:c r="A44" s="10" t="inlineStr">
        <ns0:is>
          <ns0:t>The number that decides the sale</ns0:t>
        </ns0:is>
      </ns0:c>
      <ns0:c r="B44" s="6" t="inlineStr">
        <ns0:is>
          <ns0:t>Buyer-side ROI: 0.39–1.14× at Mexican labour rates, 1.05–3.09× at US resort rates. Only the 250-room resort tier clears 1× in Mexico. See the Buyer ROI sheet.</ns0:t>
        </ns0:is>
      </ns0:c>
    </ns0:row>
  </ns0:sheetData>
  <ns0:mergeCells count="12">
    <ns0:mergeCell ref="B41:E41"/>
    <ns0:mergeCell ref="A4:E4"/>
    <ns0:mergeCell ref="C28:E28"/>
    <ns0:mergeCell ref="B43:E43"/>
    <ns0:mergeCell ref="C31:E31"/>
    <ns0:mergeCell ref="B44:E44"/>
    <ns0:mergeCell ref="A33:E33"/>
    <ns0:mergeCell ref="C29:E29"/>
    <ns0:mergeCell ref="C30:E30"/>
    <ns0:mergeCell ref="B42:E42"/>
    <ns0:mergeCell ref="A40:E40"/>
    <ns0:mergeCell ref="A27:E27"/>
  </ns0:mergeCells>
  <ns0:pageMargins left="0.75" right="0.75" top="1" bottom="1" header="0.5" footer="0.5"/>
</ns0:worksheet>
</file>

<file path=xl/worksheets/sheet10.xml><?xml version="1.0" encoding="utf-8"?>
<ns0:worksheet xmlns:ns0="http://schemas.openxmlformats.org/spreadsheetml/2006/main">
  <ns0:sheetPr>
    <ns0:tabColor rgb="007A2E2E"/>
    <ns0:outlinePr summaryBelow="1" summaryRight="1"/>
    <ns0:pageSetUpPr/>
  </ns0:sheetPr>
  <ns0:dimension ref="A1:D13"/>
  <ns0:sheetViews>
    <ns0:sheetView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34" customWidth="1" min="1" max="1"/>
    <ns0:col width="58" customWidth="1" min="2" max="2"/>
    <ns0:col width="34" customWidth="1" min="3" max="3"/>
    <ns0:col width="50" customWidth="1" min="4" max="4"/>
  </ns0:cols>
  <ns0:sheetData>
    <ns0:row r="1" ht="30" customHeight="1">
      <ns0:c r="A1" s="12" t="inlineStr">
        <ns0:is>
          <ns0:t>Not in MVP</ns0:t>
        </ns0:is>
      </ns0:c>
      <ns0:c r="B1" s="12" t="inlineStr">
        <ns0:is>
          <ns0:t>Why not</ns0:t>
        </ns0:is>
      </ns0:c>
      <ns0:c r="C1" s="12" t="inlineStr">
        <ns0:is>
          <ns0:t>Revisit when</ns0:t>
        </ns0:is>
      </ns0:c>
      <ns0:c r="D1" s="12" t="inlineStr">
        <ns0:is>
          <ns0:t>Risk if built anyway</ns0:t>
        </ns0:is>
      </ns0:c>
    </ns0:row>
    <ns0:row r="2" ht="48" customHeight="1">
      <ns0:c r="A2" s="17" t="inlineStr">
        <ns0:is>
          <ns0:t>Native guest mobile app</ns0:t>
        </ns0:is>
      </ns0:c>
      <ns0:c r="B2" s="8" t="inlineStr">
        <ns0:is>
          <ns0:t>Install friction kills adoption for a 2–4 day stay. The web link and QR do the same job.</ns0:t>
        </ns0:is>
      </ns0:c>
      <ns0:c r="C2" s="8" t="inlineStr">
        <ns0:is>
          <ns0:t>Never as the primary surface; consider a PWA wrapper post-pilot.</ns0:t>
        </ns0:is>
      </ns0:c>
      <ns0:c r="D2" s="8" t="inlineStr">
        <ns0:is>
          <ns0:t>Months of build, near-zero installs.</ns0:t>
        </ns0:is>
      </ns0:c>
    </ns0:row>
    <ns0:row r="3" ht="48" customHeight="1">
      <ns0:c r="A3" s="18" t="inlineStr">
        <ns0:is>
          <ns0:t>Any PMS integration (read or write)</ns0:t>
        </ns0:is>
      </ns0:c>
      <ns0:c r="B3" s="9" t="inlineStr">
        <ns0:is>
          <ns0:t>It converts a 1-day deployment into a 6-month enterprise project and makes every hotel a custom build.</ns0:t>
        </ns0:is>
      </ns0:c>
      <ns0:c r="C3" s="9" t="inlineStr">
        <ns0:is>
          <ns0:t>After G4, with evidence that request routing alone is not enough, and only for a signed group.</ns0:t>
        </ns0:is>
      </ns0:c>
      <ns0:c r="D3" s="9" t="inlineStr">
        <ns0:is>
          <ns0:t>The single fastest way to fail as a company.</ns0:t>
        </ns0:is>
      </ns0:c>
    </ns0:row>
    <ns0:row r="4" ht="48" customHeight="1">
      <ns0:c r="A4" s="17" t="inlineStr">
        <ns0:is>
          <ns0:t>Payment capture in chat</ns0:t>
        </ns0:is>
      </ns0:c>
      <ns0:c r="B4" s="8" t="inlineStr">
        <ns0:is>
          <ns0:t>PCI scope, fraud, refunds. Redirect to the approved booking flow.</ns0:t>
        </ns0:is>
      </ns0:c>
      <ns0:c r="C4" s="8" t="inlineStr">
        <ns0:is>
          <ns0:t>Rarely, and only via a hosted payment provider.</ns0:t>
        </ns0:is>
      </ns0:c>
      <ns0:c r="D4" s="8" t="inlineStr">
        <ns0:is>
          <ns0:t>Compliance burden out of all proportion to value.</ns0:t>
        </ns0:is>
      </ns0:c>
    </ns0:row>
    <ns0:row r="5" ht="48" customHeight="1">
      <ns0:c r="A5" s="18" t="inlineStr">
        <ns0:is>
          <ns0:t>Room-service order placement</ns0:t>
        </ns0:is>
      </ns0:c>
      <ns0:c r="B5" s="9" t="inlineStr">
        <ns0:is>
          <ns0:t>Requires PMS/POS integration and real fulfilment guarantees.</ns0:t>
        </ns0:is>
      </ns0:c>
      <ns0:c r="C5" s="9" t="inlineStr">
        <ns0:is>
          <ns0:t>Post-PMS-integration, if ever.</ns0:t>
        </ns0:is>
      </ns0:c>
      <ns0:c r="D5" s="9" t="inlineStr">
        <ns0:is>
          <ns0:t>Broken promises to hungry guests.</ns0:t>
        </ns0:is>
      </ns0:c>
    </ns0:row>
    <ns0:row r="6" ht="48" customHeight="1">
      <ns0:c r="A6" s="17" t="inlineStr">
        <ns0:is>
          <ns0:t>Housekeeping / task-management integration</ns0:t>
        </ns0:is>
      </ns0:c>
      <ns0:c r="B6" s="8" t="inlineStr">
        <ns0:is>
          <ns0:t>Hotels already have a system for this; replacing it is a different company.</ns0:t>
        </ns0:is>
      </ns0:c>
      <ns0:c r="C6" s="8" t="inlineStr">
        <ns0:is>
          <ns0:t>When a group asks for it as a paid integration.</ns0:t>
        </ns0:is>
      </ns0:c>
      <ns0:c r="D6" s="8" t="inlineStr">
        <ns0:is>
          <ns0:t>Scope explosion into workforce management.</ns0:t>
        </ns0:is>
      </ns0:c>
    </ns0:row>
    <ns0:row r="7" ht="48" customHeight="1">
      <ns0:c r="A7" s="18" t="inlineStr">
        <ns0:is>
          <ns0:t>AI issuing refunds, discounts, or binding promises</ns0:t>
        </ns0:is>
      </ns0:c>
      <ns0:c r="B7" s="9" t="inlineStr">
        <ns0:is>
          <ns0:t>No authority, no accountability structure, immediate financial exposure.</ns0:t>
        </ns0:is>
      </ns0:c>
      <ns0:c r="C7" s="9" t="inlineStr">
        <ns0:is>
          <ns0:t>Never. Escalate.</ns0:t>
        </ns0:is>
      </ns0:c>
      <ns0:c r="D7" s="9" t="inlineStr">
        <ns0:is>
          <ns0:t>A single unauthorised refund becomes a contract dispute.</ns0:t>
        </ns0:is>
      </ns0:c>
    </ns0:row>
    <ns0:row r="8" ht="48" customHeight="1">
      <ns0:c r="A8" s="17" t="inlineStr">
        <ns0:is>
          <ns0:t>Telegram, Instagram, Messenger, SMS</ns0:t>
        </ns0:is>
      </ns0:c>
      <ns0:c r="B8" s="8" t="inlineStr">
        <ns0:is>
          <ns0:t>Each channel has its own rules, approvals, and cost profile.</ns0:t>
        </ns0:is>
      </ns0:c>
      <ns0:c r="C8" s="8" t="inlineStr">
        <ns0:is>
          <ns0:t>After WhatsApp is proven and profitable.</ns0:t>
        </ns0:is>
      </ns0:c>
      <ns0:c r="D8" s="8" t="inlineStr">
        <ns0:is>
          <ns0:t>Channel sprawl with no incremental revenue.</ns0:t>
        </ns0:is>
      </ns0:c>
    </ns0:row>
    <ns0:row r="9" ht="48" customHeight="1">
      <ns0:c r="A9" s="18" t="inlineStr">
        <ns0:is>
          <ns0:t>Predictive personalisation / guest profiling</ns0:t>
        </ns0:is>
      </ns0:c>
      <ns0:c r="B9" s="9" t="inlineStr">
        <ns0:is>
          <ns0:t>Requires data volume you will not have for a year, and raises privacy obligations.</ns0:t>
        </ns0:is>
      </ns0:c>
      <ns0:c r="C9" s="9" t="inlineStr">
        <ns0:is>
          <ns0:t>Once you have 12+ months of multi-property data.</ns0:t>
        </ns0:is>
      </ns0:c>
      <ns0:c r="D9" s="9" t="inlineStr">
        <ns0:is>
          <ns0:t>Privacy risk now, no benefit yet.</ns0:t>
        </ns0:is>
      </ns0:c>
    </ns0:row>
    <ns0:row r="10" ht="48" customHeight="1">
      <ns0:c r="A10" s="17" t="inlineStr">
        <ns0:is>
          <ns0:t>Voice / telephony</ns0:t>
        </ns0:is>
      </ns0:c>
      <ns0:c r="B10" s="8" t="inlineStr">
        <ns0:is>
          <ns0:t>Different latency, cost, and failure modes entirely.</ns0:t>
        </ns0:is>
      </ns0:c>
      <ns0:c r="C10" s="8" t="inlineStr">
        <ns0:is>
          <ns0:t>As a separate product line.</ns0:t>
        </ns0:is>
      </ns0:c>
      <ns0:c r="D10" s="8" t="inlineStr">
        <ns0:is>
          <ns0:t>Dilutes the entire build.</ns0:t>
        </ns0:is>
      </ns0:c>
    </ns0:row>
    <ns0:row r="11" ht="48" customHeight="1">
      <ns0:c r="A11" s="18" t="inlineStr">
        <ns0:is>
          <ns0:t>Custom per-property theming beyond logo and colour</ns0:t>
        </ns0:is>
      </ns0:c>
      <ns0:c r="B11" s="9" t="inlineStr">
        <ns0:is>
          <ns0:t>Design debt with no commercial upside at this stage.</ns0:t>
        </ns0:is>
      </ns0:c>
      <ns0:c r="C11" s="9" t="inlineStr">
        <ns0:is>
          <ns0:t>On a paid enterprise agreement.</ns0:t>
        </ns0:is>
      </ns0:c>
      <ns0:c r="D11" s="9" t="inlineStr">
        <ns0:is>
          <ns0:t>Endless small requests, no revenue.</ns0:t>
        </ns0:is>
      </ns0:c>
    </ns0:row>
    <ns0:row r="12" ht="48" customHeight="1">
      <ns0:c r="A12" s="17" t="inlineStr">
        <ns0:is>
          <ns0:t>Autonomous web browsing for hotel facts</ns0:t>
        </ns0:is>
      </ns0:c>
      <ns0:c r="B12" s="8" t="inlineStr">
        <ns0:is>
          <ns0:t>You cannot verify what it read, and the hotel cannot approve it. This is the opposite of the trust model.</ns0:t>
        </ns0:is>
      </ns0:c>
      <ns0:c r="C12" s="8" t="inlineStr">
        <ns0:is>
          <ns0:t>Never as an answer source.</ns0:t>
        </ns0:is>
      </ns0:c>
      <ns0:c r="D12" s="8" t="inlineStr">
        <ns0:is>
          <ns0:t>Hallucinated facts attributed to the hotel.</ns0:t>
        </ns0:is>
      </ns0:c>
    </ns0:row>
    <ns0:row r="13" ht="48" customHeight="1">
      <ns0:c r="A13" s="18" t="inlineStr">
        <ns0:is>
          <ns0:t>Revenue attribution claims</ns0:t>
        </ns0:is>
      </ns0:c>
      <ns0:c r="B13" s="9" t="inlineStr">
        <ns0:is>
          <ns0:t>You cannot prove a booking without PMS or booking-engine data.</ns0:t>
        </ns0:is>
      </ns0:c>
      <ns0:c r="C13" s="9" t="inlineStr">
        <ns0:is>
          <ns0:t>When you have booking-engine callbacks.</ns0:t>
        </ns0:is>
      </ns0:c>
      <ns0:c r="D13" s="9" t="inlineStr">
        <ns0:is>
          <ns0:t>Losing a customer's trust on the first business review.</ns0:t>
        </ns0:is>
      </ns0:c>
    </ns0:row>
  </ns0:sheetData>
  <ns0:autoFilter ref="A1:D13"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2026-10-21T09:11:08Z</dcterms:created>
  <dcterms:modified xmlns:dcterms="http://purl.org/dc/terms/" xmlns:xsi="http://www.w3.org/2001/XMLSchema-instance" xsi:type="dcterms:W3CDTF">2026-10-21T09:11:08Z</dcterms:modified>
</cp:coreProperties>
</file>