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Projection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Buyer ROI" sheetId="8" state="visible" r:id="rId8"/>
    <sheet xmlns:r="http://schemas.openxmlformats.org/officeDocument/2006/relationships" name="Sources &amp; metho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&quot;$&quot;#,##0.00"/>
    <numFmt numFmtId="166" formatCode="&quot;$&quot;0.0000"/>
    <numFmt numFmtId="167" formatCode="&quot;$&quot;#,##0"/>
    <numFmt numFmtId="168" formatCode="0.0"/>
    <numFmt numFmtId="169" formatCode="&quot;$&quot;0.000"/>
    <numFmt numFmtId="170" formatCode="+0.0;-0.0;0"/>
    <numFmt numFmtId="171" formatCode="0.0&quot;×&quot;"/>
    <numFmt numFmtId="172" formatCode="0.00&quot;×&quot;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8080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color rgb="002E6E6A"/>
      <sz val="11"/>
    </font>
  </fonts>
  <fills count="7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2E6E6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vertical="center"/>
    </xf>
    <xf numFmtId="0" fontId="4" fillId="0" borderId="0" pivotButton="0" quotePrefix="0" xfId="0"/>
    <xf numFmtId="0" fontId="3" fillId="4" borderId="1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2" borderId="1" pivotButton="0" quotePrefix="0" xfId="0"/>
    <xf numFmtId="3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167" fontId="3" fillId="4" borderId="1" pivotButton="0" quotePrefix="0" xfId="0"/>
    <xf numFmtId="167" fontId="3" fillId="0" borderId="1" pivotButton="0" quotePrefix="0" xfId="0"/>
    <xf numFmtId="167" fontId="3" fillId="2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3" fontId="3" fillId="2" borderId="1" pivotButton="0" quotePrefix="0" xfId="0"/>
    <xf numFmtId="2" fontId="3" fillId="2" borderId="1" pivotButton="0" quotePrefix="0" xfId="0"/>
    <xf numFmtId="0" fontId="3" fillId="0" borderId="0" pivotButton="0" quotePrefix="0" xfId="0"/>
    <xf numFmtId="167" fontId="3" fillId="6" borderId="0" pivotButton="0" quotePrefix="0" xfId="0"/>
    <xf numFmtId="168" fontId="3" fillId="4" borderId="1" pivotButton="0" quotePrefix="0" xfId="0"/>
    <xf numFmtId="167" fontId="4" fillId="2" borderId="1" pivotButton="0" quotePrefix="0" xfId="0"/>
    <xf numFmtId="3" fontId="4" fillId="0" borderId="1" pivotButton="0" quotePrefix="0" xfId="0"/>
    <xf numFmtId="167" fontId="4" fillId="0" borderId="1" pivotButton="0" quotePrefix="0" xfId="0"/>
    <xf numFmtId="0" fontId="3" fillId="6" borderId="0" pivotButton="0" quotePrefix="0" xfId="0"/>
    <xf numFmtId="167" fontId="3" fillId="6" borderId="1" pivotButton="0" quotePrefix="0" xfId="0"/>
    <xf numFmtId="164" fontId="3" fillId="6" borderId="1" pivotButton="0" quotePrefix="0" xfId="0"/>
    <xf numFmtId="165" fontId="4" fillId="0" borderId="1" pivotButton="0" quotePrefix="0" xfId="0"/>
    <xf numFmtId="169" fontId="4" fillId="0" borderId="1" pivotButton="0" quotePrefix="0" xfId="0"/>
    <xf numFmtId="164" fontId="4" fillId="0" borderId="1" pivotButton="0" quotePrefix="0" xfId="0"/>
    <xf numFmtId="168" fontId="4" fillId="0" borderId="1" pivotButton="0" quotePrefix="0" xfId="0"/>
    <xf numFmtId="0" fontId="3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70" fontId="4" fillId="0" borderId="1" pivotButton="0" quotePrefix="0" xfId="0"/>
    <xf numFmtId="0" fontId="7" fillId="0" borderId="1" pivotButton="0" quotePrefix="0" xfId="0"/>
    <xf numFmtId="164" fontId="4" fillId="2" borderId="1" pivotButton="0" quotePrefix="0" xfId="0"/>
    <xf numFmtId="168" fontId="4" fillId="2" borderId="1" pivotButton="0" quotePrefix="0" xfId="0"/>
    <xf numFmtId="170" fontId="4" fillId="2" borderId="1" pivotButton="0" quotePrefix="0" xfId="0"/>
    <xf numFmtId="0" fontId="7" fillId="2" borderId="1" pivotButton="0" quotePrefix="0" xfId="0"/>
    <xf numFmtId="168" fontId="3" fillId="0" borderId="1" pivotButton="0" quotePrefix="0" xfId="0"/>
    <xf numFmtId="171" fontId="4" fillId="4" borderId="1" pivotButton="0" quotePrefix="0" xfId="0"/>
    <xf numFmtId="171" fontId="4" fillId="0" borderId="1" pivotButton="0" quotePrefix="0" xfId="0"/>
    <xf numFmtId="0" fontId="9" fillId="0" borderId="0" pivotButton="0" quotePrefix="0" xfId="0"/>
    <xf numFmtId="0" fontId="4" fillId="3" borderId="0" pivotButton="0" quotePrefix="0" xfId="0"/>
    <xf numFmtId="2" fontId="4" fillId="0" borderId="1" pivotButton="0" quotePrefix="0" xfId="0"/>
    <xf numFmtId="164" fontId="3" fillId="0" borderId="1" pivotButton="0" quotePrefix="0" xfId="0"/>
    <xf numFmtId="168" fontId="3" fillId="2" borderId="1" pivotButton="0" quotePrefix="0" xfId="0"/>
    <xf numFmtId="164" fontId="3" fillId="2" borderId="1" pivotButton="0" quotePrefix="0" xfId="0"/>
    <xf numFmtId="3" fontId="4" fillId="4" borderId="1" pivotButton="0" quotePrefix="0" xfId="0"/>
    <xf numFmtId="3" fontId="7" fillId="4" borderId="1" pivotButton="0" quotePrefix="0" xfId="0"/>
    <xf numFmtId="167" fontId="4" fillId="4" borderId="1" pivotButton="0" quotePrefix="0" xfId="0"/>
    <xf numFmtId="164" fontId="0" fillId="2" borderId="1" pivotButton="0" quotePrefix="0" xfId="0"/>
    <xf numFmtId="164" fontId="0" fillId="4" borderId="1" pivotButton="0" quotePrefix="0" xfId="0"/>
    <xf numFmtId="168" fontId="0" fillId="0" borderId="1" pivotButton="0" quotePrefix="0" xfId="0"/>
    <xf numFmtId="169" fontId="0" fillId="0" borderId="1" pivotButton="0" quotePrefix="0" xfId="0"/>
    <xf numFmtId="2" fontId="3" fillId="4" borderId="1" pivotButton="0" quotePrefix="0" xfId="0"/>
    <xf numFmtId="172" fontId="3" fillId="6" borderId="1" pivotButton="0" quotePrefix="0" xfId="0"/>
    <xf numFmtId="167" fontId="0" fillId="0" borderId="0" pivotButton="0" quotePrefix="0" xfId="0"/>
    <xf numFmtId="164" fontId="0" fillId="0" borderId="0" pivotButton="0" quotePrefix="0" xfId="0"/>
    <xf numFmtId="172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MRR, gross profit and EBITDA</a:t>
            </a:r>
          </a:p>
        </rich>
      </tx>
    </title>
    <plotArea>
      <lineChart>
        <grouping val="standard"/>
        <ser>
          <idx val="0"/>
          <order val="0"/>
          <tx>
            <v>MRR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'Projection'!$C$4:$Z$4</f>
            </numRef>
          </cat>
          <val>
            <numRef>
              <f>'Projection'!$C$25:$Z$25</f>
            </numRef>
          </val>
        </ser>
        <ser>
          <idx val="1"/>
          <order val="1"/>
          <tx>
            <v>Gross profit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'Projection'!$C$4:$Z$4</f>
            </numRef>
          </cat>
          <val>
            <numRef>
              <f>'Projection'!$C$33:$Z$33</f>
            </numRef>
          </val>
        </ser>
        <ser>
          <idx val="2"/>
          <order val="2"/>
          <tx>
            <v>EBITDA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'Projection'!$C$4:$Z$4</f>
            </numRef>
          </cat>
          <val>
            <numRef>
              <f>'Projection'!$C$45:$Z$45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60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ns0:worksheet xmlns:ns0="http://schemas.openxmlformats.org/spreadsheetml/2006/main">
  <ns0:sheetPr>
    <ns0:tabColor rgb="001F3864"/>
    <ns0:outlinePr summaryBelow="1" summaryRight="1"/>
    <ns0:pageSetUpPr/>
  </ns0:sheetPr>
  <ns0:dimension ref="B2:C35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36" customWidth="1" min="2" max="2"/>
    <ns0:col width="96" customWidth="1" min="3" max="3"/>
  </ns0:cols>
  <ns0:sheetData>
    <ns0:row r="2">
      <ns0:c r="B2" s="1" t="inlineStr">
        <ns0:is>
          <ns0:t>AI Guest Concierge — Financial Model</ns0:t>
        </ns0:is>
      </ns0:c>
    </ns0:row>
    <ns0:row r="3">
      <ns0:c r="B3" s="2" t="inlineStr">
        <ns0:is>
          <ns0:t>Unit economics by property size · pricing · 24-month projection · sensitivity</ns0:t>
        </ns0:is>
      </ns0:c>
    </ns0:row>
    <ns0:row r="5" ht="18" customHeight="1">
      <ns0:c r="B5" s="3" t="inlineStr"/>
      <ns0:c r="C5" s="4" t="inlineStr"/>
    </ns0:row>
    <ns0:row r="6" ht="18" customHeight="1">
      <ns0:c r="B6" s="3" t="inlineStr">
        <ns0:is>
          <ns0:t>What this model answers</ns0:t>
        </ns0:is>
      </ns0:c>
      <ns0:c r="C6" s="4" t="inlineStr"/>
    </ns0:row>
    <ns0:row r="7" ht="30" customHeight="1">
      <ns0:c r="B7" s="5" t="inlineStr">
        <ns0:is>
          <ns0:t>1. Cost to serve</ns0:t>
        </ns0:is>
      </ns0:c>
      <ns0:c r="C7" s="6" t="inlineStr">
        <ns0:is>
          <ns0:t>Fully loaded monthly COGS for four property archetypes (24, 50, 120, 250 rooms) and a group deal.</ns0:t>
        </ns0:is>
      </ns0:c>
    </ns0:row>
    <ns0:row r="8" ht="30" customHeight="1">
      <ns0:c r="B8" s="5" t="inlineStr">
        <ns0:is>
          <ns0:t>2. What to charge</ns0:t>
        </ns0:is>
      </ns0:c>
      <ns0:c r="C8" s="6" t="inlineStr">
        <ns0:is>
          <ns0:t>Pricing ladder with per-room anchoring, margin at each tier, and the price that minimises breakeven property count.</ns0:t>
        </ns0:is>
      </ns0:c>
    </ns0:row>
    <ns0:row r="9" ht="30" customHeight="1">
      <ns0:c r="B9" s="5" t="inlineStr">
        <ns0:is>
          <ns0:t>3. Does it scale</ns0:t>
        </ns0:is>
      </ns0:c>
      <ns0:c r="C9" s="6" t="inlineStr">
        <ns0:is>
          <ns0:t>24-month projection: MRR, gross margin, opex, EBITDA, cash, breakeven month, peak funding need.</ns0:t>
        </ns0:is>
      </ns0:c>
    </ns0:row>
    <ns0:row r="10" ht="30" customHeight="1">
      <ns0:c r="B10" s="5" t="inlineStr">
        <ns0:is>
          <ns0:t>4. What breaks it</ns0:t>
        </ns0:is>
      </ns0:c>
      <ns0:c r="C10" s="6" t="inlineStr">
        <ns0:is>
          <ns0:t>Two-way sensitivity on conversation volume × WhatsApp share, plus LLM model tier and support-load effects.</ns0:t>
        </ns0:is>
      </ns0:c>
    </ns0:row>
    <ns0:row r="11" ht="18" customHeight="1">
      <ns0:c r="B11" s="3" t="inlineStr"/>
      <ns0:c r="C11" s="4" t="inlineStr"/>
    </ns0:row>
    <ns0:row r="12" ht="18" customHeight="1">
      <ns0:c r="B12" s="3" t="inlineStr">
        <ns0:is>
          <ns0:t>Headline findings</ns0:t>
        </ns0:is>
      </ns0:c>
      <ns0:c r="C12" s="4" t="inlineStr"/>
    </ns0:row>
    <ns0:row r="13" ht="30" customHeight="1">
      <ns0:c r="B13" s="5" t="inlineStr">
        <ns0:is>
          <ns0:t>Margins are healthy at every size</ns0:t>
        </ns0:is>
      </ns0:c>
      <ns0:c r="C13" s="6" t="inlineStr">
        <ns0:is>
          <ns0:t>Gross margin is 78–85% for all four archetypes and 85% for a group deal. The product is not margin-constrained — there is no AI-cost problem to solve.</ns0:t>
        </ns0:is>
      </ns0:c>
    </ns0:row>
    <ns0:row r="14" ht="30" customHeight="1">
      <ns0:c r="B14" s="5" t="inlineStr">
        <ns0:is>
          <ns0:t>Support is the largest cost line</ns0:t>
        </ns0:is>
      </ns0:c>
      <ns0:c r="C14" s="6" t="inlineStr">
        <ns0:is>
          <ns0:t>37–56% of COGS is human support. LLM spend is 5–15%. Margin is an operations problem, not an AI-cost problem.</ns0:t>
        </ns0:is>
      </ns0:c>
    </ns0:row>
    <ns0:row r="15" ht="30" customHeight="1">
      <ns0:c r="B15" s="5" t="inlineStr">
        <ns0:is>
          <ns0:t>WhatsApp is smaller than feared</ns0:t>
        </ns0:is>
      </ns0:c>
      <ns0:c r="C15" s="6" t="inlineStr">
        <ns0:is>
          <ns0:t>Boutique and Independent never exceed the 1,000 free messages/month, so WhatsApp cost is $0. It only becomes material at 120+ rooms.</ns0:t>
        </ns0:is>
      </ns0:c>
    </ns0:row>
    <ns0:row r="16" ht="30" customHeight="1">
      <ns0:c r="B16" s="5" t="inlineStr">
        <ns0:is>
          <ns0:t>Breakeven is an opex question</ns0:t>
        </ns0:is>
      </ns0:c>
      <ns0:c r="C16" s="6" t="inlineStr">
        <ns0:is>
          <ns0:t>~8.7 properties at $3,800/mo of opex; ~28 at $12,000/mo. Team size, not growth rate, sets the target.</ns0:t>
        </ns0:is>
      </ns0:c>
    </ns0:row>
    <ns0:row r="17" ht="30" customHeight="1">
      <ns0:c r="B17" s="5" t="inlineStr">
        <ns0:is>
          <ns0:t>The funded path needs real capital</ns0:t>
        </ns0:is>
      </ns0:c>
      <ns0:c r="C17" s="6" t="inlineStr">
        <ns0:is>
          <ns0:t>$150k is not enough for the contractor-led build at base-case sales velocity: ~$231k of peak funding and no breakeven inside 24 months. See Scenarios.</ns0:t>
        </ns0:is>
      </ns0:c>
    </ns0:row>
    <ns0:row r="18" ht="30" customHeight="1">
      <ns0:c r="B18" s="5" t="inlineStr">
        <ns0:is>
          <ns0:t>The buyer's ROI, not our margin, is the constraint</ns0:t>
        </ns0:is>
      </ns0:c>
      <ns0:c r="C18" s="6" t="inlineStr">
        <ns0:is>
          <ns0:t>At Mexican labour rates the hotel's hard-value return is 0.39×–1.14× the price. At US resort rates it is 1.05×–3.09×. The same product is a hard sell to a small Mexican independent and an easy one to a resort. See Buyer ROI.</ns0:t>
        </ns0:is>
      </ns0:c>
    </ns0:row>
    <ns0:row r="19" ht="30" customHeight="1">
      <ns0:c r="B19" s="5" t="inlineStr">
        <ns0:is>
          <ns0:t>So sell up-market and self-serve down-market</ns0:t>
        </ns0:is>
      </ns0:c>
      <ns0:c r="C19" s="6" t="inlineStr">
        <ns0:is>
          <ns0:t>Midscale, Resort and Group tiers carry defensible buyer ROI. Boutique and Independent must be sold on coverage and experience — and onboarded with near-zero human cost or they destroy margin.</ns0:t>
        </ns0:is>
      </ns0:c>
    </ns0:row>
    <ns0:row r="20" ht="18" customHeight="1">
      <ns0:c r="B20" s="3" t="inlineStr"/>
      <ns0:c r="C20" s="4" t="inlineStr"/>
    </ns0:row>
    <ns0:row r="21" ht="18" customHeight="1">
      <ns0:c r="B21" s="3" t="inlineStr">
        <ns0:is>
          <ns0:t>How to use it</ns0:t>
        </ns0:is>
      </ns0:c>
      <ns0:c r="C21" s="4" t="inlineStr"/>
    </ns0:row>
    <ns0:row r="22" ht="30" customHeight="1">
      <ns0:c r="B22" s="5" t="inlineStr">
        <ns0:is>
          <ns0:t>Edit yellow cells only</ns0:t>
        </ns0:is>
      </ns0:c>
      <ns0:c r="C22" s="6" t="inlineStr">
        <ns0:is>
          <ns0:t>Everything else is a formula. The Inputs sheet and the archetype parameters at the top of Unit Economics are the only places to type.</ns0:t>
        </ns0:is>
      </ns0:c>
    </ns0:row>
    <ns0:row r="23" ht="16" customHeight="1">
      <ns0:c r="B23" s="5" t="inlineStr">
        <ns0:is>
          <ns0:t>Switch scenarios on Inputs</ns0:t>
        </ns0:is>
      </ns0:c>
      <ns0:c r="C23" s="6" t="inlineStr">
        <ns0:is>
          <ns0:t>Cell B7 selects Bootstrap / Funded / Group-led. The projection recalculates live.</ns0:t>
        </ns0:is>
      </ns0:c>
    </ns0:row>
    <ns0:row r="24" ht="30" customHeight="1">
      <ns0:c r="B24" s="5" t="inlineStr">
        <ns0:is>
          <ns0:t>Scenarios sheet is a snapshot</ns0:t>
        </ns0:is>
      </ns0:c>
      <ns0:c r="C24" s="6" t="inlineStr">
        <ns0:is>
          <ns0:t>It holds computed values for all three so you can compare side by side without switching. Re-run after editing inputs.</ns0:t>
        </ns0:is>
      </ns0:c>
    </ns0:row>
    <ns0:row r="25" ht="18" customHeight="1">
      <ns0:c r="B25" s="3" t="inlineStr"/>
      <ns0:c r="C25" s="4" t="inlineStr"/>
    </ns0:row>
    <ns0:row r="26" ht="18" customHeight="1">
      <ns0:c r="B26" s="3" t="inlineStr">
        <ns0:is>
          <ns0:t>Method notes</ns0:t>
        </ns0:is>
      </ns0:c>
      <ns0:c r="C26" s="4" t="inlineStr"/>
    </ns0:row>
    <ns0:row r="27" ht="30" customHeight="1">
      <ns0:c r="B27" s="5" t="inlineStr">
        <ns0:is>
          <ns0:t>Volume driver</ns0:t>
        </ns0:is>
      </ns0:c>
      <ns0:c r="C27" s="6" t="inlineStr">
        <ns0:is>
          <ns0:t>Guest-nights = rooms × 30.4 × occupancy. Conversations = guest-nights × participation rate. Participation is the key unknown: 12–18% of guest-nights in year one.</ns0:t>
        </ns0:is>
      </ns0:c>
    </ns0:row>
    <ns0:row r="28" ht="30" customHeight="1">
      <ns0:c r="B28" s="5" t="inlineStr">
        <ns0:is>
          <ns0:t>LLM cost</ns0:t>
        </ns0:is>
      </ns0:c>
      <ns0:c r="C28" s="6" t="inlineStr">
        <ns0:is>
          <ns0:t>Token-based, not a flat per-conversation guess: 45,000 input and 3,000 output tokens per conversation including classification, retrieval context and guardrail passes.</ns0:t>
        </ns0:is>
      </ns0:c>
    </ns0:row>
    <ns0:row r="29" ht="30" customHeight="1">
      <ns0:c r="B29" s="5" t="inlineStr">
        <ns0:is>
          <ns0:t>Support load</ns0:t>
        </ns0:is>
      </ns0:c>
      <ns0:c r="C29" s="6" t="inlineStr">
        <ns0:is>
          <ns0:t>Hours per property per month × $22 loaded. This is the assumption most worth arguing about — it is the largest single cost.</ns0:t>
        </ns0:is>
      </ns0:c>
    </ns0:row>
    <ns0:row r="30" ht="16" customHeight="1">
      <ns0:c r="B30" s="5" t="inlineStr">
        <ns0:is>
          <ns0:t>Churn</ns0:t>
        </ns0:is>
      </ns0:c>
      <ns0:c r="C30" s="6" t="inlineStr">
        <ns0:is>
          <ns0:t>2.5% monthly (≈26% annualised). Typical for SMB SaaS; unproven for this category.</ns0:t>
        </ns0:is>
      </ns0:c>
    </ns0:row>
    <ns0:row r="31" ht="30" customHeight="1">
      <ns0:c r="B31" s="5" t="inlineStr">
        <ns0:is>
          <ns0:t>Supersedes</ns0:t>
        </ns0:is>
      </ns0:c>
      <ns0:c r="C31" s="6" t="inlineStr">
        <ns0:is>
          <ns0:t>Replaces the rough per-property economics in 02-development-plan-workbook.xlsx → sheet 09, section D. That sheet is now build cost only.</ns0:t>
        </ns0:is>
      </ns0:c>
    </ns0:row>
    <ns0:row r="32" ht="18" customHeight="1">
      <ns0:c r="B32" s="3" t="inlineStr"/>
      <ns0:c r="C32" s="4" t="inlineStr"/>
    </ns0:row>
    <ns0:row r="33" ht="18" customHeight="1">
      <ns0:c r="B33" s="3" t="inlineStr">
        <ns0:is>
          <ns0:t>Caveats</ns0:t>
        </ns0:is>
      </ns0:c>
      <ns0:c r="C33" s="4" t="inlineStr"/>
    </ns0:row>
    <ns0:row r="34" ht="30" customHeight="1">
      <ns0:c r="B34" s="5" t="inlineStr">
        <ns0:is>
          <ns0:t>Pre-pilot estimates</ns0:t>
        </ns0:is>
      </ns0:c>
      <ns0:c r="C34" s="6" t="inlineStr">
        <ns0:is>
          <ns0:t>Every number here is a pre-pilot assumption. Participation, support hours and churn should be replaced with measured values after the first 8 weeks of pilot data.</ns0:t>
        </ns0:is>
      </ns0:c>
    </ns0:row>
    <ns0:row r="35" ht="30" customHeight="1">
      <ns0:c r="B35" s="5" t="inlineStr">
        <ns0:is>
          <ns0:t>Currency</ns0:t>
        </ns0:is>
      </ns0:c>
      <ns0:c r="C35" s="6" t="inlineStr">
        <ns0:is>
          <ns0:t>USD throughout. Mexican VAT on software (16%) and local card-processing rates should be layered on before quoting.</ns0:t>
        </ns0:is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tabColor rgb="002E6E6A"/>
    <ns0:outlinePr summaryBelow="1" summaryRight="1"/>
    <ns0:pageSetUpPr/>
  </ns0:sheetPr>
  <ns0:dimension ref="A1:I76"/>
  <ns0:sheetViews>
    <ns0:sheetView workbookViewId="0">
      <ns0:selection activeCell="A1" sqref="A1"/>
    </ns0:sheetView>
  </ns0:sheetViews>
  <ns0:sheetFormatPr baseColWidth="8" defaultRowHeight="15"/>
  <ns0:cols>
    <ns0:col width="34" customWidth="1" min="1" max="1"/>
    <ns0:col width="14" customWidth="1" min="2" max="2"/>
    <ns0:col width="10" customWidth="1" min="3" max="3"/>
    <ns0:col width="60" customWidth="1" min="4" max="4"/>
    <ns0:col width="10" customWidth="1" min="5" max="5"/>
    <ns0:col width="10" customWidth="1" min="6" max="6"/>
    <ns0:col width="10" customWidth="1" min="7" max="7"/>
    <ns0:col width="10" customWidth="1" min="8" max="8"/>
  </ns0:cols>
  <ns0:sheetData>
    <ns0:row r="1">
      <ns0:c r="A1" s="7" t="inlineStr">
        <ns0:is>
          <ns0:t>Inputs — edit yellow cells only</ns0:t>
        </ns0:is>
      </ns0:c>
    </ns0:row>
    <ns0:row r="2">
      <ns0:c r="A2" s="2" t="inlineStr">
        <ns0:is>
          <ns0:t>Archetype-specific parameters live at the top of the Unit Economics sheet, not here.</ns0:t>
        </ns0:is>
      </ns0:c>
    </ns0:row>
    <ns0:row r="4" ht="20" customHeight="1">
      <ns0:c r="A4" s="8" t="inlineStr">
        <ns0:is>
          <ns0:t>A. Scenario selector</ns0:t>
        </ns0:is>
      </ns0:c>
    </ns0:row>
    <ns0:row r="5">
      <ns0:c r="A5" s="9" t="inlineStr">
        <ns0:is>
          <ns0:t>Active scenario (1, 2 or 3)</ns0:t>
        </ns0:is>
      </ns0:c>
      <ns0:c r="B5" s="10" t="n">
        <ns0:v>2</ns0:v>
      </ns0:c>
      <ns0:c r="C5" s="11" t="inlineStr"/>
      <ns0:c r="D5" s="12" t="inlineStr">
        <ns0:is>
          <ns0:t>1 = Bootstrap (founders build, minimal opex) · 2 = Funded (contractor build, hired support) · 3 = Group-led (funded + faster pipeline)</ns0:t>
        </ns0:is>
      </ns0:c>
    </ns0:row>
    <ns0:row r="6">
      <ns0:c r="A6" s="9" t="inlineStr">
        <ns0:is>
          <ns0:t>Active scenario name</ns0:t>
        </ns0:is>
      </ns0:c>
      <ns0:c r="B6" s="13" t="str">
        <ns0:f>CHOOSE(B5,"Bootstrap","Funded","Group-led")</ns0:f>
        <ns0:v>Funded</ns0:v>
      </ns0:c>
    </ns0:row>
    <ns0:row r="8" ht="20" customHeight="1">
      <ns0:c r="A8" s="8" t="inlineStr">
        <ns0:is>
          <ns0:t>B. Global operating assumptions</ns0:t>
        </ns0:is>
      </ns0:c>
    </ns0:row>
    <ns0:row r="9">
      <ns0:c r="A9" s="9" t="inlineStr">
        <ns0:is>
          <ns0:t>Days per month</ns0:t>
        </ns0:is>
      </ns0:c>
      <ns0:c r="B9" s="14" t="n">
        <ns0:v>30.4</ns0:v>
      </ns0:c>
      <ns0:c r="C9" s="11" t="inlineStr"/>
    </ns0:row>
    <ns0:row r="10">
      <ns0:c r="A10" s="9" t="inlineStr">
        <ns0:is>
          <ns0:t>Churn rate / month</ns0:t>
        </ns0:is>
      </ns0:c>
      <ns0:c r="B10" s="15" t="n">
        <ns0:v>0.025</ns0:v>
      </ns0:c>
      <ns0:c r="C10" s="11" t="inlineStr"/>
      <ns0:c r="D10" s="12" t="inlineStr">
        <ns0:is>
          <ns0:t>Applied to the property and group base each month</ns0:t>
        </ns0:is>
      </ns0:c>
    </ns0:row>
    <ns0:row r="11">
      <ns0:c r="A11" s="9" t="inlineStr">
        <ns0:is>
          <ns0:t>Support cost per hour (loaded)</ns0:t>
        </ns0:is>
      </ns0:c>
      <ns0:c r="B11" s="16" t="n">
        <ns0:v>22</ns0:v>
      </ns0:c>
      <ns0:c r="C11" s="11" t="inlineStr"/>
      <ns0:c r="D11" s="12" t="inlineStr">
        <ns0:is>
          <ns0:t>Fully loaded: salary + overhead. Drives the largest COGS line.</ns0:t>
        </ns0:is>
      </ns0:c>
    </ns0:row>
    <ns0:row r="12">
      <ns0:c r="A12" s="9" t="inlineStr">
        <ns0:is>
          <ns0:t>Payment processing fee (% of price)</ns0:t>
        </ns0:is>
      </ns0:c>
      <ns0:c r="B12" s="15" t="n">
        <ns0:v>0.036</ns0:v>
      </ns0:c>
      <ns0:c r="C12" s="11" t="inlineStr"/>
      <ns0:c r="D12" s="12" t="inlineStr">
        <ns0:is>
          <ns0:t>Card + IVA on fees. Confirm with your PSP.</ns0:t>
        </ns0:is>
      </ns0:c>
    </ns0:row>
    <ns0:row r="14" ht="20" customHeight="1">
      <ns0:c r="A14" s="8" t="inlineStr">
        <ns0:is>
          <ns0:t>C. AI cost</ns0:t>
        </ns0:is>
      </ns0:c>
    </ns0:row>
    <ns0:row r="15">
      <ns0:c r="A15" s="9" t="inlineStr">
        <ns0:is>
          <ns0:t>Input tokens per conversation</ns0:t>
        </ns0:is>
      </ns0:c>
      <ns0:c r="B15" s="14" t="n">
        <ns0:v>45000</ns0:v>
      </ns0:c>
      <ns0:c r="C15" s="11" t="inlineStr"/>
      <ns0:c r="D15" s="12" t="inlineStr">
        <ns0:is>
          <ns0:t>~10 turns × (system + 4 retrieved chunks + history) + classification/guardrail calls</ns0:t>
        </ns0:is>
      </ns0:c>
    </ns0:row>
    <ns0:row r="16">
      <ns0:c r="A16" s="9" t="inlineStr">
        <ns0:is>
          <ns0:t>Output tokens per conversation</ns0:t>
        </ns0:is>
      </ns0:c>
      <ns0:c r="B16" s="14" t="n">
        <ns0:v>3000</ns0:v>
      </ns0:c>
      <ns0:c r="C16" s="11" t="inlineStr"/>
    </ns0:row>
    <ns0:row r="17">
      <ns0:c r="A17" s="9" t="inlineStr">
        <ns0:is>
          <ns0:t>Input price per 1M tokens (USD)</ns0:t>
        </ns0:is>
      </ns0:c>
      <ns0:c r="B17" s="16" t="n">
        <ns0:v>0.6</ns0:v>
      </ns0:c>
      <ns0:c r="C17" s="11" t="inlineStr"/>
      <ns0:c r="D17" s="12" t="inlineStr">
        <ns0:is>
          <ns0:t>Mid-tier model. Cheap tier ≈ 0.15/0.60; premium ≈ 3.00/15.00.</ns0:t>
        </ns0:is>
      </ns0:c>
    </ns0:row>
    <ns0:row r="18">
      <ns0:c r="A18" s="9" t="inlineStr">
        <ns0:is>
          <ns0:t>Output price per 1M tokens (USD)</ns0:t>
        </ns0:is>
      </ns0:c>
      <ns0:c r="B18" s="16" t="n">
        <ns0:v>2.4</ns0:v>
      </ns0:c>
      <ns0:c r="C18" s="11" t="inlineStr"/>
    </ns0:row>
    <ns0:row r="20" ht="20" customHeight="1">
      <ns0:c r="A20" s="8" t="inlineStr">
        <ns0:is>
          <ns0:t>D. WhatsApp</ns0:t>
        </ns0:is>
      </ns0:c>
    </ns0:row>
    <ns0:row r="21">
      <ns0:c r="A21" s="9" t="inlineStr">
        <ns0:is>
          <ns0:t>Service message rate (USD)</ns0:t>
        </ns0:is>
      </ns0:c>
      <ns0:c r="B21" s="17" t="n">
        <ns0:v>0.008500000000000001</ns0:v>
      </ns0:c>
      <ns0:c r="C21" s="11" t="inlineStr"/>
      <ns0:c r="D21" s="12" t="inlineStr">
        <ns0:is>
          <ns0:t>Mexico, from 1 Oct 2026. Service messages are billable after the free allowance.</ns0:t>
        </ns0:is>
      </ns0:c>
    </ns0:row>
    <ns0:row r="22">
      <ns0:c r="A22" s="9" t="inlineStr">
        <ns0:is>
          <ns0:t>Free messages per number / month</ns0:t>
        </ns0:is>
      </ns0:c>
      <ns0:c r="B22" s="14" t="n">
        <ns0:v>1000</ns0:v>
      </ns0:c>
      <ns0:c r="C22" s="11" t="inlineStr"/>
      <ns0:c r="D22" s="12" t="inlineStr">
        <ns0:is>
          <ns0:t>Resets monthly, does not roll over</ns0:t>
        </ns0:is>
      </ns0:c>
    </ns0:row>
    <ns0:row r="24" ht="20" customHeight="1">
      <ns0:c r="A24" s="8" t="inlineStr">
        <ns0:is>
          <ns0:t>E. Pricing (list, per month)</ns0:t>
        </ns0:is>
      </ns0:c>
    </ns0:row>
    <ns0:row r="25">
      <ns0:c r="A25" s="9" t="inlineStr">
        <ns0:is>
          <ns0:t>Boutique (≤30 rooms)</ns0:t>
        </ns0:is>
      </ns0:c>
      <ns0:c r="B25" s="18" t="n">
        <ns0:v>199</ns0:v>
      </ns0:c>
      <ns0:c r="C25" s="11" t="inlineStr"/>
    </ns0:row>
    <ns0:row r="26">
      <ns0:c r="A26" s="9" t="inlineStr">
        <ns0:is>
          <ns0:t>Independent (31–80 rooms)</ns0:t>
        </ns0:is>
      </ns0:c>
      <ns0:c r="B26" s="18" t="n">
        <ns0:v>299</ns0:v>
      </ns0:c>
      <ns0:c r="C26" s="11" t="inlineStr"/>
    </ns0:row>
    <ns0:row r="27">
      <ns0:c r="A27" s="9" t="inlineStr">
        <ns0:is>
          <ns0:t>Midscale (81–150 rooms)</ns0:t>
        </ns0:is>
      </ns0:c>
      <ns0:c r="B27" s="18" t="n">
        <ns0:v>599</ns0:v>
      </ns0:c>
      <ns0:c r="C27" s="11" t="inlineStr"/>
    </ns0:row>
    <ns0:row r="28">
      <ns0:c r="A28" s="9" t="inlineStr">
        <ns0:is>
          <ns0:t>Resort (151–400 rooms)</ns0:t>
        </ns0:is>
      </ns0:c>
      <ns0:c r="B28" s="18" t="n">
        <ns0:v>1099</ns0:v>
      </ns0:c>
      <ns0:c r="C28" s="11" t="inlineStr"/>
    </ns0:row>
    <ns0:row r="29">
      <ns0:c r="A29" s="9" t="inlineStr">
        <ns0:is>
          <ns0:t>Group platform fee (per group / month)</ns0:t>
        </ns0:is>
      </ns0:c>
      <ns0:c r="B29" s="18" t="n">
        <ns0:v>1250</ns0:v>
      </ns0:c>
      <ns0:c r="C29" s="11" t="inlineStr"/>
      <ns0:c r="D29" s="12" t="inlineStr">
        <ns0:is>
          <ns0:t>Charged on top of per-property fees at 85% of list</ns0:t>
        </ns0:is>
      </ns0:c>
    </ns0:row>
    <ns0:row r="30">
      <ns0:c r="A30" s="9" t="inlineStr">
        <ns0:is>
          <ns0:t>Group per-property discount</ns0:t>
        </ns0:is>
      </ns0:c>
      <ns0:c r="B30" s="15" t="n">
        <ns0:v>0.15</ns0:v>
      </ns0:c>
      <ns0:c r="C30" s="11" t="inlineStr"/>
    </ns0:row>
    <ns0:row r="31">
      <ns0:c r="A31" s="9" t="inlineStr">
        <ns0:is>
          <ns0:t>Blended group price (3 × Midscale)</ns0:t>
        </ns0:is>
      </ns0:c>
      <ns0:c r="B31" s="19">
        <ns0:f>3*B27*(1-B30)+B29</ns0:f>
        <ns0:v>2777.45</ns0:v>
      </ns0:c>
    </ns0:row>
    <ns0:row r="32">
      <ns0:c r="A32" s="9" t="inlineStr">
        <ns0:is>
          <ns0:t>Group COGS (calculated in Unit Economics)</ns0:t>
        </ns0:is>
      </ns0:c>
      <ns0:c r="B32" s="20">
        <ns0:f>'Unit Economics'!F23</ns0:f>
        <ns0:v>408.8816</ns0:v>
      </ns0:c>
    </ns0:row>
    <ns0:row r="34" ht="20" customHeight="1">
      <ns0:c r="A34" s="8" t="inlineStr">
        <ns0:is>
          <ns0:t>F. Scenario parameters</ns0:t>
        </ns0:is>
      </ns0:c>
    </ns0:row>
    <ns0:row r="35" ht="28" customHeight="1">
      <ns0:c r="A35" s="21" t="inlineStr">
        <ns0:is>
          <ns0:t>Line</ns0:t>
        </ns0:is>
      </ns0:c>
      <ns0:c r="B35" s="21" t="inlineStr">
        <ns0:is>
          <ns0:t>1 · Bootstrap</ns0:t>
        </ns0:is>
      </ns0:c>
      <ns0:c r="C35" s="21" t="inlineStr">
        <ns0:is>
          <ns0:t>2 · Funded</ns0:t>
        </ns0:is>
      </ns0:c>
      <ns0:c r="D35" s="21" t="inlineStr">
        <ns0:is>
          <ns0:t>3 · Group-led</ns0:t>
        </ns0:is>
      </ns0:c>
      <ns0:c r="E35" s="21" t="inlineStr">
        <ns0:is>
          <ns0:t>Unit / note</ns0:t>
        </ns0:is>
      </ns0:c>
    </ns0:row>
    <ns0:row r="36">
      <ns0:c r="A36" s="9" t="inlineStr">
        <ns0:is>
          <ns0:t>Founder 1 monthly cost</ns0:t>
        </ns0:is>
      </ns0:c>
      <ns0:c r="B36" s="22" t="n">
        <ns0:v>1500</ns0:v>
      </ns0:c>
      <ns0:c r="C36" s="22" t="n">
        <ns0:v>2500</ns0:v>
      </ns0:c>
      <ns0:c r="D36" s="22" t="n">
        <ns0:v>2500</ns0:v>
      </ns0:c>
      <ns0:c r="E36" s="12" t="inlineStr">
        <ns0:is>
          <ns0:t>Founder draw, not market salary. Be honest about this line.</ns0:t>
        </ns0:is>
      </ns0:c>
    </ns0:row>
    <ns0:row r="37">
      <ns0:c r="A37" s="9" t="inlineStr">
        <ns0:is>
          <ns0:t>Founder 2 monthly cost</ns0:t>
        </ns0:is>
      </ns0:c>
      <ns0:c r="B37" s="22" t="n">
        <ns0:v>1500</ns0:v>
      </ns0:c>
      <ns0:c r="C37" s="22" t="n">
        <ns0:v>0</ns0:v>
      </ns0:c>
      <ns0:c r="D37" s="22" t="n">
        <ns0:v>0</ns0:v>
      </ns0:c>
      <ns0:c r="E37" s="12" t="inlineStr">
        <ns0:is>
          <ns0:t>Second founder, technical. Zero in funded scenarios (contractor instead).</ns0:t>
        </ns0:is>
      </ns0:c>
    </ns0:row>
    <ns0:row r="38">
      <ns0:c r="A38" s="9" t="inlineStr">
        <ns0:is>
          <ns0:t>Developer monthly cost</ns0:t>
        </ns0:is>
      </ns0:c>
      <ns0:c r="B38" s="22" t="n">
        <ns0:v>0</ns0:v>
      </ns0:c>
      <ns0:c r="C38" s="22" t="n">
        <ns0:v>3500</ns0:v>
      </ns0:c>
      <ns0:c r="D38" s="22" t="n">
        <ns0:v>3500</ns0:v>
      </ns0:c>
      <ns0:c r="E38" s="12" t="inlineStr">
        <ns0:is>
          <ns0:t>Contractor at ~$550/day × 16 days</ns0:t>
        </ns0:is>
      </ns0:c>
    </ns0:row>
    <ns0:row r="39">
      <ns0:c r="A39" s="9" t="inlineStr">
        <ns0:is>
          <ns0:t>Second developer from month</ns0:t>
        </ns0:is>
      </ns0:c>
      <ns0:c r="B39" s="22" t="n">
        <ns0:v>99</ns0:v>
      </ns0:c>
      <ns0:c r="C39" s="22" t="n">
        <ns0:v>7</ns0:v>
      </ns0:c>
      <ns0:c r="D39" s="22" t="n">
        <ns0:v>7</ns0:v>
      </ns0:c>
      <ns0:c r="E39" s="12" t="inlineStr">
        <ns0:is>
          <ns0:t>99 = never</ns0:t>
        </ns0:is>
      </ns0:c>
    </ns0:row>
    <ns0:row r="40">
      <ns0:c r="A40" s="9" t="inlineStr">
        <ns0:is>
          <ns0:t>Second developer monthly cost</ns0:t>
        </ns0:is>
      </ns0:c>
      <ns0:c r="B40" s="22" t="n">
        <ns0:v>0</ns0:v>
      </ns0:c>
      <ns0:c r="C40" s="22" t="n">
        <ns0:v>3500</ns0:v>
      </ns0:c>
      <ns0:c r="D40" s="22" t="n">
        <ns0:v>3500</ns0:v>
      </ns0:c>
      <ns0:c r="E40" s="12" t="inlineStr"/>
    </ns0:row>
    <ns0:row r="41">
      <ns0:c r="A41" s="9" t="inlineStr">
        <ns0:is>
          <ns0:t>Support / content ops from month</ns0:t>
        </ns0:is>
      </ns0:c>
      <ns0:c r="B41" s="22" t="n">
        <ns0:v>99</ns0:v>
      </ns0:c>
      <ns0:c r="C41" s="22" t="n">
        <ns0:v>4</ns0:v>
      </ns0:c>
      <ns0:c r="D41" s="22" t="n">
        <ns0:v>4</ns0:v>
      </ns0:c>
      <ns0:c r="E41" s="12" t="inlineStr">
        <ns0:is>
          <ns0:t>99 = never (founders absorb)</ns0:t>
        </ns0:is>
      </ns0:c>
    </ns0:row>
    <ns0:row r="42">
      <ns0:c r="A42" s="9" t="inlineStr">
        <ns0:is>
          <ns0:t>Support / content ops monthly cost</ns0:t>
        </ns0:is>
      </ns0:c>
      <ns0:c r="B42" s="22" t="n">
        <ns0:v>0</ns0:v>
      </ns0:c>
      <ns0:c r="C42" s="22" t="n">
        <ns0:v>1300</ns0:v>
      </ns0:c>
      <ns0:c r="D42" s="22" t="n">
        <ns0:v>1300</ns0:v>
      </ns0:c>
      <ns0:c r="E42" s="12" t="inlineStr"/>
    </ns0:row>
    <ns0:row r="43">
      <ns0:c r="A43" s="9" t="inlineStr">
        <ns0:is>
          <ns0:t>Tools, hosting, software</ns0:t>
        </ns0:is>
      </ns0:c>
      <ns0:c r="B43" s="22" t="n">
        <ns0:v>400</ns0:v>
      </ns0:c>
      <ns0:c r="C43" s="22" t="n">
        <ns0:v>400</ns0:v>
      </ns0:c>
      <ns0:c r="D43" s="22" t="n">
        <ns0:v>400</ns0:v>
      </ns0:c>
      <ns0:c r="E43" s="12" t="inlineStr">
        <ns0:is>
          <ns0:t>Fixed platform cost, not per-property</ns0:t>
        </ns0:is>
      </ns0:c>
    </ns0:row>
    <ns0:row r="44">
      <ns0:c r="A44" s="9" t="inlineStr">
        <ns0:is>
          <ns0:t>Marketing &amp; sales</ns0:t>
        </ns0:is>
      </ns0:c>
      <ns0:c r="B44" s="22" t="n">
        <ns0:v>400</ns0:v>
      </ns0:c>
      <ns0:c r="C44" s="22" t="n">
        <ns0:v>800</ns0:v>
      </ns0:c>
      <ns0:c r="D44" s="22" t="n">
        <ns0:v>1200</ns0:v>
      </ns0:c>
      <ns0:c r="E44" s="12" t="inlineStr"/>
    </ns0:row>
    <ns0:row r="45">
      <ns0:c r="A45" s="9" t="inlineStr">
        <ns0:is>
          <ns0:t>Pipeline multiplier</ns0:t>
        </ns0:is>
      </ns0:c>
      <ns0:c r="B45" s="22" t="n">
        <ns0:v>0.7</ns0:v>
      </ns0:c>
      <ns0:c r="C45" s="22" t="n">
        <ns0:v>1</ns0:v>
      </ns0:c>
      <ns0:c r="D45" s="22" t="n">
        <ns0:v>1.4</ns0:v>
      </ns0:c>
      <ns0:c r="E45" s="12" t="inlineStr">
        <ns0:is>
          <ns0:t>Applied to the base quarterly pipeline below</ns0:t>
        </ns0:is>
      </ns0:c>
    </ns0:row>
    <ns0:row r="46">
      <ns0:c r="A46" s="9" t="inlineStr">
        <ns0:is>
          <ns0:t>Group deals: quarter of first close</ns0:t>
        </ns0:is>
      </ns0:c>
      <ns0:c r="B46" s="22" t="n">
        <ns0:v>0</ns0:v>
      </ns0:c>
      <ns0:c r="C46" s="22" t="n">
        <ns0:v>6</ns0:v>
      </ns0:c>
      <ns0:c r="D46" s="22" t="n">
        <ns0:v>3</ns0:v>
      </ns0:c>
      <ns0:c r="E46" s="12" t="inlineStr">
        <ns0:is>
          <ns0:t>0 = no group deals in this scenario</ns0:t>
        </ns0:is>
      </ns0:c>
    </ns0:row>
    <ns0:row r="47">
      <ns0:c r="A47" s="9" t="inlineStr">
        <ns0:is>
          <ns0:t>Group deals: quarter of second close</ns0:t>
        </ns0:is>
      </ns0:c>
      <ns0:c r="B47" s="22" t="n">
        <ns0:v>0</ns0:v>
      </ns0:c>
      <ns0:c r="C47" s="22" t="n">
        <ns0:v>99</ns0:v>
      </ns0:c>
      <ns0:c r="D47" s="22" t="n">
        <ns0:v>7</ns0:v>
      </ns0:c>
      <ns0:c r="E47" s="12" t="inlineStr">
        <ns0:is>
          <ns0:t>99 = none</ns0:t>
        </ns0:is>
      </ns0:c>
    </ns0:row>
    <ns0:row r="48">
      <ns0:c r="A48" s="9" t="inlineStr">
        <ns0:is>
          <ns0:t>Starting cash</ns0:t>
        </ns0:is>
      </ns0:c>
      <ns0:c r="B48" s="22" t="n">
        <ns0:v>60000</ns0:v>
      </ns0:c>
      <ns0:c r="C48" s="22" t="n">
        <ns0:v>150000</ns0:v>
      </ns0:c>
      <ns0:c r="D48" s="22" t="n">
        <ns0:v>150000</ns0:v>
      </ns0:c>
      <ns0:c r="E48" s="12" t="inlineStr">
        <ns0:is>
          <ns0:t>Including any raise</ns0:t>
        </ns0:is>
      </ns0:c>
    </ns0:row>
    <ns0:row r="49">
      <ns0:c r="A49" s="9" t="inlineStr">
        <ns0:is>
          <ns0:t>One-time build cost</ns0:t>
        </ns0:is>
      </ns0:c>
      <ns0:c r="B49" s="22" t="n">
        <ns0:v>2280</ns0:v>
      </ns0:c>
      <ns0:c r="C49" s="22" t="n">
        <ns0:v>46865</ns0:v>
      </ns0:c>
      <ns0:c r="D49" s="22" t="n">
        <ns0:v>46865</ns0:v>
      </ns0:c>
      <ns0:c r="E49" s="12" t="inlineStr">
        <ns0:is>
          <ns0:t>Bootstrap = legal + services only (founders build). Funded = 75.5 dev-days × $550 × ~... see workbook 02</ns0:t>
        </ns0:is>
      </ns0:c>
    </ns0:row>
    <ns0:row r="52" ht="20" customHeight="1">
      <ns0:c r="A52" s="8" t="inlineStr">
        <ns0:is>
          <ns0:t>G. Base quarterly pipeline (properties added per quarter, before the scenario multiplier)</ns0:t>
        </ns0:is>
      </ns0:c>
    </ns0:row>
    <ns0:row r="53" ht="28" customHeight="1">
      <ns0:c r="A53" s="21" t="inlineStr">
        <ns0:is>
          <ns0:t>Tier</ns0:t>
        </ns0:is>
      </ns0:c>
      <ns0:c r="B53" s="21" t="inlineStr">
        <ns0:is>
          <ns0:t>Q1</ns0:t>
        </ns0:is>
      </ns0:c>
      <ns0:c r="C53" s="21" t="inlineStr">
        <ns0:is>
          <ns0:t>Q2</ns0:t>
        </ns0:is>
      </ns0:c>
      <ns0:c r="D53" s="21" t="inlineStr">
        <ns0:is>
          <ns0:t>Q3</ns0:t>
        </ns0:is>
      </ns0:c>
      <ns0:c r="E53" s="21" t="inlineStr">
        <ns0:is>
          <ns0:t>Q4</ns0:t>
        </ns0:is>
      </ns0:c>
      <ns0:c r="F53" s="21" t="inlineStr">
        <ns0:is>
          <ns0:t>Q5</ns0:t>
        </ns0:is>
      </ns0:c>
      <ns0:c r="G53" s="21" t="inlineStr">
        <ns0:is>
          <ns0:t>Q6</ns0:t>
        </ns0:is>
      </ns0:c>
      <ns0:c r="H53" s="21" t="inlineStr">
        <ns0:is>
          <ns0:t>Q7</ns0:t>
        </ns0:is>
      </ns0:c>
      <ns0:c r="I53" s="21" t="inlineStr">
        <ns0:is>
          <ns0:t>Q8</ns0:t>
        </ns0:is>
      </ns0:c>
    </ns0:row>
    <ns0:row r="54">
      <ns0:c r="A54" s="9" t="inlineStr">
        <ns0:is>
          <ns0:t>Boutique</ns0:t>
        </ns0:is>
      </ns0:c>
      <ns0:c r="B54" s="23" t="n">
        <ns0:v>0</ns0:v>
      </ns0:c>
      <ns0:c r="C54" s="23" t="n">
        <ns0:v>1</ns0:v>
      </ns0:c>
      <ns0:c r="D54" s="23" t="n">
        <ns0:v>1</ns0:v>
      </ns0:c>
      <ns0:c r="E54" s="23" t="n">
        <ns0:v>1</ns0:v>
      </ns0:c>
      <ns0:c r="F54" s="23" t="n">
        <ns0:v>1</ns0:v>
      </ns0:c>
      <ns0:c r="G54" s="23" t="n">
        <ns0:v>1</ns0:v>
      </ns0:c>
      <ns0:c r="H54" s="23" t="n">
        <ns0:v>1</ns0:v>
      </ns0:c>
      <ns0:c r="I54" s="23" t="n">
        <ns0:v>1</ns0:v>
      </ns0:c>
    </ns0:row>
    <ns0:row r="55">
      <ns0:c r="A55" s="9" t="inlineStr">
        <ns0:is>
          <ns0:t>Independent</ns0:t>
        </ns0:is>
      </ns0:c>
      <ns0:c r="B55" s="23" t="n">
        <ns0:v>1</ns0:v>
      </ns0:c>
      <ns0:c r="C55" s="23" t="n">
        <ns0:v>2</ns0:v>
      </ns0:c>
      <ns0:c r="D55" s="23" t="n">
        <ns0:v>2</ns0:v>
      </ns0:c>
      <ns0:c r="E55" s="23" t="n">
        <ns0:v>3</ns0:v>
      </ns0:c>
      <ns0:c r="F55" s="23" t="n">
        <ns0:v>2</ns0:v>
      </ns0:c>
      <ns0:c r="G55" s="23" t="n">
        <ns0:v>2</ns0:v>
      </ns0:c>
      <ns0:c r="H55" s="23" t="n">
        <ns0:v>2</ns0:v>
      </ns0:c>
      <ns0:c r="I55" s="23" t="n">
        <ns0:v>2</ns0:v>
      </ns0:c>
    </ns0:row>
    <ns0:row r="56">
      <ns0:c r="A56" s="9" t="inlineStr">
        <ns0:is>
          <ns0:t>Midscale</ns0:t>
        </ns0:is>
      </ns0:c>
      <ns0:c r="B56" s="23" t="n">
        <ns0:v>0</ns0:v>
      </ns0:c>
      <ns0:c r="C56" s="23" t="n">
        <ns0:v>0</ns0:v>
      </ns0:c>
      <ns0:c r="D56" s="23" t="n">
        <ns0:v>0</ns0:v>
      </ns0:c>
      <ns0:c r="E56" s="23" t="n">
        <ns0:v>0</ns0:v>
      </ns0:c>
      <ns0:c r="F56" s="23" t="n">
        <ns0:v>1</ns0:v>
      </ns0:c>
      <ns0:c r="G56" s="23" t="n">
        <ns0:v>1</ns0:v>
      </ns0:c>
      <ns0:c r="H56" s="23" t="n">
        <ns0:v>1</ns0:v>
      </ns0:c>
      <ns0:c r="I56" s="23" t="n">
        <ns0:v>1</ns0:v>
      </ns0:c>
    </ns0:row>
    <ns0:row r="57">
      <ns0:c r="A57" s="9" t="inlineStr">
        <ns0:is>
          <ns0:t>Resort</ns0:t>
        </ns0:is>
      </ns0:c>
      <ns0:c r="B57" s="23" t="n">
        <ns0:v>0</ns0:v>
      </ns0:c>
      <ns0:c r="C57" s="23" t="n">
        <ns0:v>0</ns0:v>
      </ns0:c>
      <ns0:c r="D57" s="23" t="n">
        <ns0:v>0</ns0:v>
      </ns0:c>
      <ns0:c r="E57" s="23" t="n">
        <ns0:v>0</ns0:v>
      </ns0:c>
      <ns0:c r="F57" s="23" t="n">
        <ns0:v>0</ns0:v>
      </ns0:c>
      <ns0:c r="G57" s="23" t="n">
        <ns0:v>0</ns0:v>
      </ns0:c>
      <ns0:c r="H57" s="23" t="n">
        <ns0:v>0</ns0:v>
      </ns0:c>
      <ns0:c r="I57" s="23" t="n">
        <ns0:v>1</ns0:v>
      </ns0:c>
    </ns0:row>
    <ns0:row r="60" ht="20" customHeight="1">
      <ns0:c r="A60" s="8" t="inlineStr">
        <ns0:is>
          <ns0:t>H. Active scenario (calculated — do not edit)</ns0:t>
        </ns0:is>
      </ns0:c>
    </ns0:row>
    <ns0:row r="61">
      <ns0:c r="A61" s="9" t="inlineStr">
        <ns0:is>
          <ns0:t>Founder 1</ns0:t>
        </ns0:is>
      </ns0:c>
      <ns0:c r="B61" s="20">
        <ns0:f>CHOOSE($B$5,B36,C36,D36)</ns0:f>
        <ns0:v>2500</ns0:v>
      </ns0:c>
    </ns0:row>
    <ns0:row r="62">
      <ns0:c r="A62" s="9" t="inlineStr">
        <ns0:is>
          <ns0:t>Founder 2</ns0:t>
        </ns0:is>
      </ns0:c>
      <ns0:c r="B62" s="20">
        <ns0:f>CHOOSE($B$5,B37,C37,D37)</ns0:f>
        <ns0:v>0</ns0:v>
      </ns0:c>
    </ns0:row>
    <ns0:row r="63">
      <ns0:c r="A63" s="9" t="inlineStr">
        <ns0:is>
          <ns0:t>Developer</ns0:t>
        </ns0:is>
      </ns0:c>
      <ns0:c r="B63" s="20">
        <ns0:f>CHOOSE($B$5,B38,C38,D38)</ns0:f>
        <ns0:v>3500</ns0:v>
      </ns0:c>
    </ns0:row>
    <ns0:row r="64">
      <ns0:c r="A64" s="9" t="inlineStr">
        <ns0:is>
          <ns0:t>Second developer from month</ns0:t>
        </ns0:is>
      </ns0:c>
      <ns0:c r="B64" s="24">
        <ns0:f>CHOOSE($B$5,B39,C39,D39)</ns0:f>
        <ns0:v>7</ns0:v>
      </ns0:c>
    </ns0:row>
    <ns0:row r="65">
      <ns0:c r="A65" s="9" t="inlineStr">
        <ns0:is>
          <ns0:t>Second developer cost</ns0:t>
        </ns0:is>
      </ns0:c>
      <ns0:c r="B65" s="20">
        <ns0:f>CHOOSE($B$5,B40,C40,D40)</ns0:f>
        <ns0:v>3500</ns0:v>
      </ns0:c>
    </ns0:row>
    <ns0:row r="66">
      <ns0:c r="A66" s="9" t="inlineStr">
        <ns0:is>
          <ns0:t>Support ops from month</ns0:t>
        </ns0:is>
      </ns0:c>
      <ns0:c r="B66" s="24">
        <ns0:f>CHOOSE($B$5,B41,C41,D41)</ns0:f>
        <ns0:v>4</ns0:v>
      </ns0:c>
    </ns0:row>
    <ns0:row r="67">
      <ns0:c r="A67" s="9" t="inlineStr">
        <ns0:is>
          <ns0:t>Support ops cost</ns0:t>
        </ns0:is>
      </ns0:c>
      <ns0:c r="B67" s="20">
        <ns0:f>CHOOSE($B$5,B42,C42,D42)</ns0:f>
        <ns0:v>1300</ns0:v>
      </ns0:c>
    </ns0:row>
    <ns0:row r="68">
      <ns0:c r="A68" s="9" t="inlineStr">
        <ns0:is>
          <ns0:t>Tools</ns0:t>
        </ns0:is>
      </ns0:c>
      <ns0:c r="B68" s="20">
        <ns0:f>CHOOSE($B$5,B43,C43,D43)</ns0:f>
        <ns0:v>400</ns0:v>
      </ns0:c>
    </ns0:row>
    <ns0:row r="69">
      <ns0:c r="A69" s="9" t="inlineStr">
        <ns0:is>
          <ns0:t>Marketing</ns0:t>
        </ns0:is>
      </ns0:c>
      <ns0:c r="B69" s="20">
        <ns0:f>CHOOSE($B$5,B44,C44,D44)</ns0:f>
        <ns0:v>800</ns0:v>
      </ns0:c>
    </ns0:row>
    <ns0:row r="70">
      <ns0:c r="A70" s="9" t="inlineStr">
        <ns0:is>
          <ns0:t>Pipeline multiplier</ns0:t>
        </ns0:is>
      </ns0:c>
      <ns0:c r="B70" s="25">
        <ns0:f>CHOOSE($B$5,B45,C45,D45)</ns0:f>
        <ns0:v>1</ns0:v>
      </ns0:c>
    </ns0:row>
    <ns0:row r="71">
      <ns0:c r="A71" s="9" t="inlineStr">
        <ns0:is>
          <ns0:t>Group close quarter 1</ns0:t>
        </ns0:is>
      </ns0:c>
      <ns0:c r="B71" s="24">
        <ns0:f>CHOOSE($B$5,B46,C46,D46)</ns0:f>
        <ns0:v>6</ns0:v>
      </ns0:c>
    </ns0:row>
    <ns0:row r="72">
      <ns0:c r="A72" s="9" t="inlineStr">
        <ns0:is>
          <ns0:t>Group close quarter 2</ns0:t>
        </ns0:is>
      </ns0:c>
      <ns0:c r="B72" s="24">
        <ns0:f>CHOOSE($B$5,B47,C47,D47)</ns0:f>
        <ns0:v>99</ns0:v>
      </ns0:c>
    </ns0:row>
    <ns0:row r="73">
      <ns0:c r="A73" s="9" t="inlineStr">
        <ns0:is>
          <ns0:t>Starting cash</ns0:t>
        </ns0:is>
      </ns0:c>
      <ns0:c r="B73" s="20">
        <ns0:f>CHOOSE($B$5,B48,C48,D48)</ns0:f>
        <ns0:v>150000</ns0:v>
      </ns0:c>
    </ns0:row>
    <ns0:row r="74">
      <ns0:c r="A74" s="9" t="inlineStr">
        <ns0:is>
          <ns0:t>One-time build cost</ns0:t>
        </ns0:is>
      </ns0:c>
      <ns0:c r="B74" s="20">
        <ns0:f>CHOOSE($B$5,B49,C49,D49)</ns0:f>
        <ns0:v>46865</ns0:v>
      </ns0:c>
    </ns0:row>
    <ns0:row r="76">
      <ns0:c r="A76" s="26" t="inlineStr">
        <ns0:is>
          <ns0:t>Steady-state monthly opex</ns0:t>
        </ns0:is>
      </ns0:c>
      <ns0:c r="B76" s="27">
        <ns0:f>B61+B62+B63+B65+B67+B68+B69</ns0:f>
        <ns0:v>12000.0</ns0:v>
      </ns0:c>
    </ns0:row>
  </ns0:sheetData>
  <ns0:mergeCells count="31">
    <ns0:mergeCell ref="E45:H45"/>
    <ns0:mergeCell ref="D10:H10"/>
    <ns0:mergeCell ref="A24:H24"/>
    <ns0:mergeCell ref="A60:H60"/>
    <ns0:mergeCell ref="E41:H41"/>
    <ns0:mergeCell ref="D22:H22"/>
    <ns0:mergeCell ref="E37:H37"/>
    <ns0:mergeCell ref="D21:H21"/>
    <ns0:mergeCell ref="E47:H47"/>
    <ns0:mergeCell ref="E43:H43"/>
    <ns0:mergeCell ref="D11:H11"/>
    <ns0:mergeCell ref="E42:H42"/>
    <ns0:mergeCell ref="D17:H17"/>
    <ns0:mergeCell ref="E48:H48"/>
    <ns0:mergeCell ref="E39:H39"/>
    <ns0:mergeCell ref="E38:H38"/>
    <ns0:mergeCell ref="E44:H44"/>
    <ns0:mergeCell ref="A14:H14"/>
    <ns0:mergeCell ref="A8:H8"/>
    <ns0:mergeCell ref="A4:H4"/>
    <ns0:mergeCell ref="D12:H12"/>
    <ns0:mergeCell ref="E40:H40"/>
    <ns0:mergeCell ref="D15:H15"/>
    <ns0:mergeCell ref="A34:H34"/>
    <ns0:mergeCell ref="A20:H20"/>
    <ns0:mergeCell ref="A52:H52"/>
    <ns0:mergeCell ref="D29:H29"/>
    <ns0:mergeCell ref="D5:H5"/>
    <ns0:mergeCell ref="E46:H46"/>
    <ns0:mergeCell ref="E49:H49"/>
    <ns0:mergeCell ref="E36:H36"/>
  </ns0:mergeCells>
  <ns0:dataValidations count="1">
    <ns0:dataValidation sqref="B5" showDropDown="0" showInputMessage="0" showErrorMessage="1" allowBlank="0" errorTitle="Pick 1, 2 or 3" error="1 = Bootstrap, 2 = Funded, 3 = Group-led" type="list">
      <ns0:formula1>"1,2,3"</ns0:formula1>
    </ns0:dataValidation>
  </ns0:dataValidation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tabColor rgb="00A9D08E"/>
    <ns0:outlinePr summaryBelow="1" summaryRight="1"/>
    <ns0:pageSetUpPr/>
  </ns0:sheetPr>
  <ns0:dimension ref="A1:G32"/>
  <ns0:sheetViews>
    <ns0:sheetView workbookViewId="0">
      <ns0:selection activeCell="A1" sqref="A1"/>
    </ns0:sheetView>
  </ns0:sheetViews>
  <ns0:sheetFormatPr baseColWidth="8" defaultRowHeight="15"/>
  <ns0:cols>
    <ns0:col width="34" customWidth="1" min="1" max="1"/>
    <ns0:col width="15" customWidth="1" min="2" max="2"/>
    <ns0:col width="15" customWidth="1" min="3" max="3"/>
    <ns0:col width="15" customWidth="1" min="4" max="4"/>
    <ns0:col width="15" customWidth="1" min="5" max="5"/>
    <ns0:col width="15" customWidth="1" min="6" max="6"/>
  </ns0:cols>
  <ns0:sheetData>
    <ns0:row r="1">
      <ns0:c r="A1" s="7" t="inlineStr">
        <ns0:is>
          <ns0:t>Unit economics by property size</ns0:t>
        </ns0:is>
      </ns0:c>
    </ns0:row>
    <ns0:row r="2">
      <ns0:c r="A2" s="2" t="inlineStr">
        <ns0:is>
          <ns0:t>Parameters in rows 5–10 are inputs (yellow). Everything below is calculated.</ns0:t>
        </ns0:is>
      </ns0:c>
    </ns0:row>
    <ns0:row r="4" ht="28" customHeight="1">
      <ns0:c r="A4" s="21" t="inlineStr">
        <ns0:is>
          <ns0:t>Metric</ns0:t>
        </ns0:is>
      </ns0:c>
      <ns0:c r="B4" s="21" t="inlineStr">
        <ns0:is>
          <ns0:t>Boutique</ns0:t>
        </ns0:is>
      </ns0:c>
      <ns0:c r="C4" s="21" t="inlineStr">
        <ns0:is>
          <ns0:t>Independent</ns0:t>
        </ns0:is>
      </ns0:c>
      <ns0:c r="D4" s="21" t="inlineStr">
        <ns0:is>
          <ns0:t>Midscale</ns0:t>
        </ns0:is>
      </ns0:c>
      <ns0:c r="E4" s="21" t="inlineStr">
        <ns0:is>
          <ns0:t>Resort</ns0:t>
        </ns0:is>
      </ns0:c>
      <ns0:c r="F4" s="21" t="inlineStr">
        <ns0:is>
          <ns0:t>Group (3×Mid)</ns0:t>
        </ns0:is>
      </ns0:c>
    </ns0:row>
    <ns0:row r="5">
      <ns0:c r="A5" s="9" t="inlineStr">
        <ns0:is>
          <ns0:t>Rooms</ns0:t>
        </ns0:is>
      </ns0:c>
      <ns0:c r="B5" s="14" t="n">
        <ns0:v>24</ns0:v>
      </ns0:c>
      <ns0:c r="C5" s="14" t="n">
        <ns0:v>50</ns0:v>
      </ns0:c>
      <ns0:c r="D5" s="14" t="n">
        <ns0:v>120</ns0:v>
      </ns0:c>
      <ns0:c r="E5" s="14" t="n">
        <ns0:v>250</ns0:v>
      </ns0:c>
      <ns0:c r="F5" s="14" t="n">
        <ns0:v>360</ns0:v>
      </ns0:c>
      <ns0:c r="G5" s="12" t="inlineStr">
        <ns0:is>
          <ns0:t>Group column = 3 × Midscale properties</ns0:t>
        </ns0:is>
      </ns0:c>
    </ns0:row>
    <ns0:row r="6">
      <ns0:c r="A6" s="9" t="inlineStr">
        <ns0:is>
          <ns0:t>Occupancy</ns0:t>
        </ns0:is>
      </ns0:c>
      <ns0:c r="B6" s="15" t="n">
        <ns0:v>0.72</ns0:v>
      </ns0:c>
      <ns0:c r="C6" s="15" t="n">
        <ns0:v>0.68</ns0:v>
      </ns0:c>
      <ns0:c r="D6" s="15" t="n">
        <ns0:v>0.7</ns0:v>
      </ns0:c>
      <ns0:c r="E6" s="15" t="n">
        <ns0:v>0.75</ns0:v>
      </ns0:c>
      <ns0:c r="F6" s="15" t="n">
        <ns0:v>0.7</ns0:v>
      </ns0:c>
    </ns0:row>
    <ns0:row r="7">
      <ns0:c r="A7" s="9" t="inlineStr">
        <ns0:is>
          <ns0:t>Participation rate</ns0:t>
        </ns0:is>
      </ns0:c>
      <ns0:c r="B7" s="15" t="n">
        <ns0:v>0.12</ns0:v>
      </ns0:c>
      <ns0:c r="C7" s="15" t="n">
        <ns0:v>0.15</ns0:v>
      </ns0:c>
      <ns0:c r="D7" s="15" t="n">
        <ns0:v>0.17</ns0:v>
      </ns0:c>
      <ns0:c r="E7" s="15" t="n">
        <ns0:v>0.18</ns0:v>
      </ns0:c>
      <ns0:c r="F7" s="15" t="n">
        <ns0:v>0.15</ns0:v>
      </ns0:c>
      <ns0:c r="G7" s="12" t="inlineStr">
        <ns0:is>
          <ns0:t>Share of guest-nights that produce a conversation. Biggest unknown in the model.</ns0:t>
        </ns0:is>
      </ns0:c>
    </ns0:row>
    <ns0:row r="8">
      <ns0:c r="A8" s="9" t="inlineStr">
        <ns0:is>
          <ns0:t>Replies per conversation</ns0:t>
        </ns0:is>
      </ns0:c>
      <ns0:c r="B8" s="14" t="n">
        <ns0:v>9</ns0:v>
      </ns0:c>
      <ns0:c r="C8" s="14" t="n">
        <ns0:v>10</ns0:v>
      </ns0:c>
      <ns0:c r="D8" s="14" t="n">
        <ns0:v>11</ns0:v>
      </ns0:c>
      <ns0:c r="E8" s="14" t="n">
        <ns0:v>12</ns0:v>
      </ns0:c>
      <ns0:c r="F8" s="14" t="n">
        <ns0:v>11</ns0:v>
      </ns0:c>
      <ns0:c r="G8" s="12" t="inlineStr">
        <ns0:is>
          <ns0:t>Bot + staff messages</ns0:t>
        </ns0:is>
      </ns0:c>
    </ns0:row>
    <ns0:row r="9">
      <ns0:c r="A9" s="9" t="inlineStr">
        <ns0:is>
          <ns0:t>WhatsApp share of conversations</ns0:t>
        </ns0:is>
      </ns0:c>
      <ns0:c r="B9" s="15" t="n">
        <ns0:v>0.35</ns0:v>
      </ns0:c>
      <ns0:c r="C9" s="15" t="n">
        <ns0:v>0.45</ns0:v>
      </ns0:c>
      <ns0:c r="D9" s="15" t="n">
        <ns0:v>0.55</ns0:v>
      </ns0:c>
      <ns0:c r="E9" s="15" t="n">
        <ns0:v>0.6</ns0:v>
      </ns0:c>
      <ns0:c r="F9" s="15" t="n">
        <ns0:v>0.55</ns0:v>
      </ns0:c>
      <ns0:c r="G9" s="12" t="inlineStr">
        <ns0:is>
          <ns0:t>Rest is web chat (near-zero marginal cost)</ns0:t>
        </ns0:is>
      </ns0:c>
    </ns0:row>
    <ns0:row r="10">
      <ns0:c r="A10" s="9" t="inlineStr">
        <ns0:is>
          <ns0:t>Support hours / month</ns0:t>
        </ns0:is>
      </ns0:c>
      <ns0:c r="B10" s="28" t="n">
        <ns0:v>1</ns0:v>
      </ns0:c>
      <ns0:c r="C10" s="28" t="n">
        <ns0:v>1.5</ns0:v>
      </ns0:c>
      <ns0:c r="D10" s="28" t="n">
        <ns0:v>2.5</ns0:v>
      </ns0:c>
      <ns0:c r="E10" s="28" t="n">
        <ns0:v>4</ns0:v>
      </ns0:c>
      <ns0:c r="F10" s="28" t="n">
        <ns0:v>4.5</ns0:v>
      </ns0:c>
      <ns0:c r="G10" s="12" t="inlineStr">
        <ns0:is>
          <ns0:t>Group gets 40% support synergy vs 3 × 2.5</ns0:t>
        </ns0:is>
      </ns0:c>
    </ns0:row>
    <ns0:row r="11">
      <ns0:c r="A11" s="9" t="inlineStr">
        <ns0:is>
          <ns0:t>Infra / month (allocation)</ns0:t>
        </ns0:is>
      </ns0:c>
      <ns0:c r="B11" s="18" t="n">
        <ns0:v>8</ns0:v>
      </ns0:c>
      <ns0:c r="C11" s="18" t="n">
        <ns0:v>10</ns0:v>
      </ns0:c>
      <ns0:c r="D11" s="18" t="n">
        <ns0:v>15</ns0:v>
      </ns0:c>
      <ns0:c r="E11" s="18" t="n">
        <ns0:v>20</ns0:v>
      </ns0:c>
      <ns0:c r="F11" s="18" t="n">
        <ns0:v>120</ns0:v>
      </ns0:c>
      <ns0:c r="G11" s="12" t="inlineStr">
        <ns0:is>
          <ns0:t>Hosting, storage, observability + governance</ns0:t>
        </ns0:is>
      </ns0:c>
    </ns0:row>
    <ns0:row r="12">
      <ns0:c r="A12" s="9" t="inlineStr">
        <ns0:is>
          <ns0:t>List price / month</ns0:t>
        </ns0:is>
      </ns0:c>
      <ns0:c r="B12" s="29">
        <ns0:f>Inputs!$B$25</ns0:f>
        <ns0:v>199</ns0:v>
      </ns0:c>
      <ns0:c r="C12" s="29">
        <ns0:f>Inputs!$B$26</ns0:f>
        <ns0:v>299</ns0:v>
      </ns0:c>
      <ns0:c r="D12" s="29">
        <ns0:f>Inputs!$B$27</ns0:f>
        <ns0:v>599</ns0:v>
      </ns0:c>
      <ns0:c r="E12" s="29">
        <ns0:f>Inputs!$B$28</ns0:f>
        <ns0:v>1099</ns0:v>
      </ns0:c>
      <ns0:c r="F12" s="29">
        <ns0:f>Inputs!$B$31</ns0:f>
        <ns0:v>2777.45</ns0:v>
      </ns0:c>
      <ns0:c r="G12" s="12" t="inlineStr">
        <ns0:is>
          <ns0:t>Group = 3 × Mid at 85% + $1,250 platform fee</ns0:t>
        </ns0:is>
      </ns0:c>
    </ns0:row>
    <ns0:row r="14" ht="20" customHeight="1">
      <ns0:c r="A14" s="8" t="inlineStr">
        <ns0:is>
          <ns0:t>Calculated economics</ns0:t>
        </ns0:is>
      </ns0:c>
    </ns0:row>
    <ns0:row r="15">
      <ns0:c r="A15" s="9" t="inlineStr">
        <ns0:is>
          <ns0:t>Guest-nights / month</ns0:t>
        </ns0:is>
      </ns0:c>
      <ns0:c r="B15" s="30">
        <ns0:f>B5*Inputs!$B$9*B6</ns0:f>
        <ns0:v>525.3119999999999</ns0:v>
      </ns0:c>
      <ns0:c r="C15" s="30">
        <ns0:f>C5*Inputs!$B$9*C6</ns0:f>
        <ns0:v>1033.6000000000001</ns0:v>
      </ns0:c>
      <ns0:c r="D15" s="30">
        <ns0:f>D5*Inputs!$B$9*D6</ns0:f>
        <ns0:v>2553.6</ns0:v>
      </ns0:c>
      <ns0:c r="E15" s="30">
        <ns0:f>E5*Inputs!$B$9*E6</ns0:f>
        <ns0:v>5700.0</ns0:v>
      </ns0:c>
      <ns0:c r="F15" s="30">
        <ns0:f>F5*Inputs!$B$9*F6</ns0:f>
        <ns0:v>7660.799999999999</ns0:v>
      </ns0:c>
      <ns0:c r="G15" s="12" t="inlineStr">
        <ns0:is>
          <ns0:t>Rooms × days × occupancy</ns0:t>
        </ns0:is>
      </ns0:c>
    </ns0:row>
    <ns0:row r="16">
      <ns0:c r="A16" s="9" t="inlineStr">
        <ns0:is>
          <ns0:t>Conversations / month</ns0:t>
        </ns0:is>
      </ns0:c>
      <ns0:c r="B16" s="30">
        <ns0:f>B15*B7</ns0:f>
        <ns0:v>63.03743999999998</ns0:v>
      </ns0:c>
      <ns0:c r="C16" s="30">
        <ns0:f>C15*C7</ns0:f>
        <ns0:v>155.04000000000002</ns0:v>
      </ns0:c>
      <ns0:c r="D16" s="30">
        <ns0:f>D15*D7</ns0:f>
        <ns0:v>434.112</ns0:v>
      </ns0:c>
      <ns0:c r="E16" s="30">
        <ns0:f>E15*E7</ns0:f>
        <ns0:v>1026.0</ns0:v>
      </ns0:c>
      <ns0:c r="F16" s="30">
        <ns0:f>F15*F7</ns0:f>
        <ns0:v>1149.12</ns0:v>
      </ns0:c>
      <ns0:c r="G16" s="12" t="inlineStr">
        <ns0:is>
          <ns0:t>Guest-nights × participation</ns0:t>
        </ns0:is>
      </ns0:c>
    </ns0:row>
    <ns0:row r="17">
      <ns0:c r="A17" s="9" t="inlineStr">
        <ns0:is>
          <ns0:t>LLM cost</ns0:t>
        </ns0:is>
      </ns0:c>
      <ns0:c r="B17" s="31">
        <ns0:f>B16*(Inputs!$B$15/1000000*Inputs!$B$17+Inputs!$B$16/1000000*Inputs!$B$18)</ns0:f>
        <ns0:v>2.1558804479999996</ns0:v>
      </ns0:c>
      <ns0:c r="C17" s="31">
        <ns0:f>C16*(Inputs!$B$15/1000000*Inputs!$B$17+Inputs!$B$16/1000000*Inputs!$B$18)</ns0:f>
        <ns0:v>5.302368000000001</ns0:v>
      </ns0:c>
      <ns0:c r="D17" s="31">
        <ns0:f>D16*(Inputs!$B$15/1000000*Inputs!$B$17+Inputs!$B$16/1000000*Inputs!$B$18)</ns0:f>
        <ns0:v>14.8466304</ns0:v>
      </ns0:c>
      <ns0:c r="E17" s="31">
        <ns0:f>E16*(Inputs!$B$15/1000000*Inputs!$B$17+Inputs!$B$16/1000000*Inputs!$B$18)</ns0:f>
        <ns0:v>35.0892</ns0:v>
      </ns0:c>
      <ns0:c r="F17" s="31">
        <ns0:f>F16*(Inputs!$B$15/1000000*Inputs!$B$17+Inputs!$B$16/1000000*Inputs!$B$18)</ns0:f>
        <ns0:v>39.299904</ns0:v>
      </ns0:c>
      <ns0:c r="G17" s="12" t="inlineStr">
        <ns0:is>
          <ns0:t>Token-based</ns0:t>
        </ns0:is>
      </ns0:c>
    </ns0:row>
    <ns0:row r="18">
      <ns0:c r="A18" s="9" t="inlineStr">
        <ns0:is>
          <ns0:t>WhatsApp messages sent</ns0:t>
        </ns0:is>
      </ns0:c>
      <ns0:c r="B18" s="30">
        <ns0:f>B16*B9*B8</ns0:f>
        <ns0:v>198.56793599999992</ns0:v>
      </ns0:c>
      <ns0:c r="C18" s="30">
        <ns0:f>C16*C9*C8</ns0:f>
        <ns0:v>697.6800000000002</ns0:v>
      </ns0:c>
      <ns0:c r="D18" s="30">
        <ns0:f>D16*D9*D8</ns0:f>
        <ns0:v>2626.3776000000007</ns0:v>
      </ns0:c>
      <ns0:c r="E18" s="30">
        <ns0:f>E16*E9*E8</ns0:f>
        <ns0:v>7387.200000000001</ns0:v>
      </ns0:c>
      <ns0:c r="F18" s="30">
        <ns0:f>F16*F9*F8</ns0:f>
        <ns0:v>6952.1759999999995</ns0:v>
      </ns0:c>
    </ns0:row>
    <ns0:row r="19">
      <ns0:c r="A19" s="9" t="inlineStr">
        <ns0:is>
          <ns0:t>WhatsApp cost</ns0:t>
        </ns0:is>
      </ns0:c>
      <ns0:c r="B19" s="31">
        <ns0:f>MAX(0,B18-Inputs!$B$22)*Inputs!$B$21</ns0:f>
        <ns0:v>0.0</ns0:v>
      </ns0:c>
      <ns0:c r="C19" s="31">
        <ns0:f>MAX(0,C18-Inputs!$B$22)*Inputs!$B$21</ns0:f>
        <ns0:v>0.0</ns0:v>
      </ns0:c>
      <ns0:c r="D19" s="31">
        <ns0:f>MAX(0,D18-Inputs!$B$22)*Inputs!$B$21</ns0:f>
        <ns0:v>13.824209600000007</ns0:v>
      </ns0:c>
      <ns0:c r="E19" s="31">
        <ns0:f>MAX(0,E18-Inputs!$B$22)*Inputs!$B$21</ns0:f>
        <ns0:v>54.29120000000001</ns0:v>
      </ns0:c>
      <ns0:c r="F19" s="31">
        <ns0:f>MAX(0,F18-Inputs!$B$22)*Inputs!$B$21</ns0:f>
        <ns0:v>50.593496</ns0:v>
      </ns0:c>
      <ns0:c r="G19" s="12" t="inlineStr">
        <ns0:is>
          <ns0:t>After the 1,000 free messages/number</ns0:t>
        </ns0:is>
      </ns0:c>
    </ns0:row>
    <ns0:row r="20">
      <ns0:c r="A20" s="9" t="inlineStr">
        <ns0:is>
          <ns0:t>Support cost</ns0:t>
        </ns0:is>
      </ns0:c>
      <ns0:c r="B20" s="31">
        <ns0:f>B10*Inputs!$B$11</ns0:f>
        <ns0:v>22.0</ns0:v>
      </ns0:c>
      <ns0:c r="C20" s="31">
        <ns0:f>C10*Inputs!$B$11</ns0:f>
        <ns0:v>33.0</ns0:v>
      </ns0:c>
      <ns0:c r="D20" s="31">
        <ns0:f>D10*Inputs!$B$11</ns0:f>
        <ns0:v>55.0</ns0:v>
      </ns0:c>
      <ns0:c r="E20" s="31">
        <ns0:f>E10*Inputs!$B$11</ns0:f>
        <ns0:v>88.0</ns0:v>
      </ns0:c>
      <ns0:c r="F20" s="31">
        <ns0:f>F10*Inputs!$B$11</ns0:f>
        <ns0:v>99.0</ns0:v>
      </ns0:c>
      <ns0:c r="G20" s="12" t="inlineStr">
        <ns0:is>
          <ns0:t>Largest COGS line</ns0:t>
        </ns0:is>
      </ns0:c>
    </ns0:row>
    <ns0:row r="21">
      <ns0:c r="A21" s="9" t="inlineStr">
        <ns0:is>
          <ns0:t>Infrastructure</ns0:t>
        </ns0:is>
      </ns0:c>
      <ns0:c r="B21" s="31">
        <ns0:f>B11</ns0:f>
        <ns0:v>8</ns0:v>
      </ns0:c>
      <ns0:c r="C21" s="31">
        <ns0:f>C11</ns0:f>
        <ns0:v>10</ns0:v>
      </ns0:c>
      <ns0:c r="D21" s="31">
        <ns0:f>D11</ns0:f>
        <ns0:v>15</ns0:v>
      </ns0:c>
      <ns0:c r="E21" s="31">
        <ns0:f>E11</ns0:f>
        <ns0:v>20</ns0:v>
      </ns0:c>
      <ns0:c r="F21" s="31">
        <ns0:f>F11</ns0:f>
        <ns0:v>120</ns0:v>
      </ns0:c>
    </ns0:row>
    <ns0:row r="22">
      <ns0:c r="A22" s="9" t="inlineStr">
        <ns0:is>
          <ns0:t>Payment processing</ns0:t>
        </ns0:is>
      </ns0:c>
      <ns0:c r="B22" s="31">
        <ns0:f>B12*Inputs!$B$12</ns0:f>
        <ns0:v>7.164</ns0:v>
      </ns0:c>
      <ns0:c r="C22" s="31">
        <ns0:f>C12*Inputs!$B$12</ns0:f>
        <ns0:v>10.764</ns0:v>
      </ns0:c>
      <ns0:c r="D22" s="31">
        <ns0:f>D12*Inputs!$B$12</ns0:f>
        <ns0:v>21.564</ns0:v>
      </ns0:c>
      <ns0:c r="E22" s="31">
        <ns0:f>E12*Inputs!$B$12</ns0:f>
        <ns0:v>39.564</ns0:v>
      </ns0:c>
      <ns0:c r="F22" s="31">
        <ns0:f>F12*Inputs!$B$12</ns0:f>
        <ns0:v>99.98819999999999</ns0:v>
      </ns0:c>
    </ns0:row>
    <ns0:row r="23">
      <ns0:c r="A23" s="32" t="inlineStr">
        <ns0:is>
          <ns0:t>Total COGS</ns0:t>
        </ns0:is>
      </ns0:c>
      <ns0:c r="B23" s="33">
        <ns0:f>B17+B19+B20+B21+B22</ns0:f>
        <ns0:v>39.319880448</ns0:v>
      </ns0:c>
      <ns0:c r="C23" s="33">
        <ns0:f>C17+C19+C20+C21+C22</ns0:f>
        <ns0:v>59.066368</ns0:v>
      </ns0:c>
      <ns0:c r="D23" s="33">
        <ns0:f>D17+D19+D20+D21+D22</ns0:f>
        <ns0:v>120.23483999999999</ns0:v>
      </ns0:c>
      <ns0:c r="E23" s="33">
        <ns0:f>E17+E19+E20+E21+E22</ns0:f>
        <ns0:v>236.9444</ns0:v>
      </ns0:c>
      <ns0:c r="F23" s="33">
        <ns0:f>F17+F19+F20+F21+F22</ns0:f>
        <ns0:v>408.8816</ns0:v>
      </ns0:c>
    </ns0:row>
    <ns0:row r="24">
      <ns0:c r="A24" s="32" t="inlineStr">
        <ns0:is>
          <ns0:t>Gross profit / month</ns0:t>
        </ns0:is>
      </ns0:c>
      <ns0:c r="B24" s="33">
        <ns0:f>B12-B23</ns0:f>
        <ns0:v>159.680119552</ns0:v>
      </ns0:c>
      <ns0:c r="C24" s="33">
        <ns0:f>C12-C23</ns0:f>
        <ns0:v>239.933632</ns0:v>
      </ns0:c>
      <ns0:c r="D24" s="33">
        <ns0:f>D12-D23</ns0:f>
        <ns0:v>478.76516000000004</ns0:v>
      </ns0:c>
      <ns0:c r="E24" s="33">
        <ns0:f>E12-E23</ns0:f>
        <ns0:v>862.0556</ns0:v>
      </ns0:c>
      <ns0:c r="F24" s="33">
        <ns0:f>F12-F23</ns0:f>
        <ns0:v>2368.5683999999997</ns0:v>
      </ns0:c>
    </ns0:row>
    <ns0:row r="25">
      <ns0:c r="A25" s="32" t="inlineStr">
        <ns0:is>
          <ns0:t>Gross margin</ns0:t>
        </ns0:is>
      </ns0:c>
      <ns0:c r="B25" s="34">
        <ns0:f>B24/B12</ns0:f>
        <ns0:v>0.8024126610653267</ns0:v>
      </ns0:c>
      <ns0:c r="C25" s="34">
        <ns0:f>C24/C12</ns0:f>
        <ns0:v>0.8024536187290969</ns0:v>
      </ns0:c>
      <ns0:c r="D25" s="34">
        <ns0:f>D24/D12</ns0:f>
        <ns0:v>0.7992740567612688</ns0:v>
      </ns0:c>
      <ns0:c r="E25" s="34">
        <ns0:f>E24/E12</ns0:f>
        <ns0:v>0.7844</ns0:v>
      </ns0:c>
      <ns0:c r="F25" s="34">
        <ns0:f>F24/F12</ns0:f>
        <ns0:v>0.8527852526598138</ns0:v>
      </ns0:c>
    </ns0:row>
    <ns0:row r="26">
      <ns0:c r="A26" s="9" t="inlineStr">
        <ns0:is>
          <ns0:t>Price per room / month</ns0:t>
        </ns0:is>
      </ns0:c>
      <ns0:c r="B26" s="35">
        <ns0:f>B12/B5</ns0:f>
        <ns0:v>8.291666666666666</ns0:v>
      </ns0:c>
      <ns0:c r="C26" s="35">
        <ns0:f>C12/C5</ns0:f>
        <ns0:v>5.98</ns0:v>
      </ns0:c>
      <ns0:c r="D26" s="35">
        <ns0:f>D12/D5</ns0:f>
        <ns0:v>4.991666666666666</ns0:v>
      </ns0:c>
      <ns0:c r="E26" s="35">
        <ns0:f>E12/E5</ns0:f>
        <ns0:v>4.396</ns0:v>
      </ns0:c>
      <ns0:c r="F26" s="35">
        <ns0:f>F12/F5</ns0:f>
        <ns0:v>7.715138888888888</ns0:v>
      </ns0:c>
      <ns0:c r="G26" s="12" t="inlineStr">
        <ns0:is>
          <ns0:t>Anchors the sales conversation</ns0:t>
        </ns0:is>
      </ns0:c>
    </ns0:row>
    <ns0:row r="27">
      <ns0:c r="A27" s="9" t="inlineStr">
        <ns0:is>
          <ns0:t>Cost per conversation</ns0:t>
        </ns0:is>
      </ns0:c>
      <ns0:c r="B27" s="36">
        <ns0:f>B23/B16</ns0:f>
        <ns0:v>0.6237543981481483</ns0:v>
      </ns0:c>
      <ns0:c r="C27" s="36">
        <ns0:f>C23/C16</ns0:f>
        <ns0:v>0.38097502579979353</ns0:v>
      </ns0:c>
      <ns0:c r="D27" s="36">
        <ns0:f>D23/D16</ns0:f>
        <ns0:v>0.2769673264042459</ns0:v>
      </ns0:c>
      <ns0:c r="E27" s="36">
        <ns0:f>E23/E16</ns0:f>
        <ns0:v>0.23093996101364522</ns0:v>
      </ns0:c>
      <ns0:c r="F27" s="36">
        <ns0:f>F23/F16</ns0:f>
        <ns0:v>0.35582149818991926</ns0:v>
      </ns0:c>
      <ns0:c r="G27" s="12" t="inlineStr">
        <ns0:is>
          <ns0:t>Falls with size — fixed support spread over more volume</ns0:t>
        </ns0:is>
      </ns0:c>
    </ns0:row>
    <ns0:row r="28">
      <ns0:c r="A28" s="9" t="inlineStr">
        <ns0:is>
          <ns0:t>Support share of COGS</ns0:t>
        </ns0:is>
      </ns0:c>
      <ns0:c r="B28" s="37">
        <ns0:f>B20/B23</ns0:f>
        <ns0:v>0.5595134000749239</ns0:v>
      </ns0:c>
      <ns0:c r="C28" s="37">
        <ns0:f>C20/C23</ns0:f>
        <ns0:v>0.5586935699178254</ns0:v>
      </ns0:c>
      <ns0:c r="D28" s="37">
        <ns0:f>D20/D23</ns0:f>
        <ns0:v>0.45743812691895297</ns0:v>
      </ns0:c>
      <ns0:c r="E28" s="37">
        <ns0:f>E20/E23</ns0:f>
        <ns0:v>0.37139514586544353</ns0:v>
      </ns0:c>
      <ns0:c r="F28" s="37">
        <ns0:f>F20/F23</ns0:f>
        <ns0:v>0.24212388133875432</ns0:v>
      </ns0:c>
      <ns0:c r="G28" s="12" t="inlineStr">
        <ns0:is>
          <ns0:t>The line to attack</ns0:t>
        </ns0:is>
      </ns0:c>
    </ns0:row>
    <ns0:row r="29">
      <ns0:c r="A29" s="9" t="inlineStr">
        <ns0:is>
          <ns0:t>LLM share of COGS</ns0:t>
        </ns0:is>
      </ns0:c>
      <ns0:c r="B29" s="37">
        <ns0:f>B17/B23</ns0:f>
        <ns0:v>0.05482927270979681</ns0:v>
      </ns0:c>
      <ns0:c r="C29" s="37">
        <ns0:f>C17/C23</ns0:f>
        <ns0:v>0.08976966384660728</ns0:v>
      </ns0:c>
      <ns0:c r="D29" s="37">
        <ns0:f>D17/D23</ns0:f>
        <ns0:v>0.1234802691133452</ns0:v>
      </ns0:c>
      <ns0:c r="E29" s="37">
        <ns0:f>E17/E23</ns0:f>
        <ns0:v>0.14809043809433772</ns0:v>
      </ns0:c>
      <ns0:c r="F29" s="37">
        <ns0:f>F17/F23</ns0:f>
        <ns0:v>0.09611560901737813</ns0:v>
      </ns0:c>
    </ns0:row>
    <ns0:row r="30">
      <ns0:c r="A30" s="9" t="inlineStr">
        <ns0:is>
          <ns0:t>WhatsApp share of COGS</ns0:t>
        </ns0:is>
      </ns0:c>
      <ns0:c r="B30" s="37">
        <ns0:f>B19/B23</ns0:f>
        <ns0:v>0.0</ns0:v>
      </ns0:c>
      <ns0:c r="C30" s="37">
        <ns0:f>C19/C23</ns0:f>
        <ns0:v>0.0</ns0:v>
      </ns0:c>
      <ns0:c r="D30" s="37">
        <ns0:f>D19/D23</ns0:f>
        <ns0:v>0.11497673719198202</ns0:v>
      </ns0:c>
      <ns0:c r="E30" s="37">
        <ns0:f>E19/E23</ns0:f>
        <ns0:v>0.2291305470819315</ns0:v>
      </ns0:c>
      <ns0:c r="F30" s="37">
        <ns0:f>F19/F23</ns0:f>
        <ns0:v>0.12373629921229032</ns0:v>
      </ns0:c>
    </ns0:row>
    <ns0:row r="31">
      <ns0:c r="A31" s="9" t="inlineStr">
        <ns0:is>
          <ns0:t>Annual gross profit per property</ns0:t>
        </ns0:is>
      </ns0:c>
      <ns0:c r="B31" s="19">
        <ns0:f>B24*12</ns0:f>
        <ns0:v>1916.161434624</ns0:v>
      </ns0:c>
      <ns0:c r="C31" s="19">
        <ns0:f>C24*12</ns0:f>
        <ns0:v>2879.203584</ns0:v>
      </ns0:c>
      <ns0:c r="D31" s="19">
        <ns0:f>D24*12</ns0:f>
        <ns0:v>5745.181920000001</ns0:v>
      </ns0:c>
      <ns0:c r="E31" s="19">
        <ns0:f>E24*12</ns0:f>
        <ns0:v>10344.6672</ns0:v>
      </ns0:c>
      <ns0:c r="F31" s="19">
        <ns0:f>F24*12</ns0:f>
        <ns0:v>28422.820799999994</ns0:v>
      </ns0:c>
    </ns0:row>
    <ns0:row r="32">
      <ns0:c r="A32" s="9" t="inlineStr">
        <ns0:is>
          <ns0:t>Properties needed per $10k of monthly opex</ns0:t>
        </ns0:is>
      </ns0:c>
      <ns0:c r="B32" s="38">
        <ns0:f>10000/B24</ns0:f>
        <ns0:v>62.625203613675204</ns0:v>
      </ns0:c>
      <ns0:c r="C32" s="38">
        <ns0:f>10000/C24</ns0:f>
        <ns0:v>41.67819207604877</ns0:v>
      </ns0:c>
      <ns0:c r="D32" s="38">
        <ns0:f>10000/D24</ns0:f>
        <ns0:v>20.887067053918457</ns0:v>
      </ns0:c>
      <ns0:c r="E32" s="38">
        <ns0:f>10000/E24</ns0:f>
        <ns0:v>11.60017984918838</ns0:v>
      </ns0:c>
      <ns0:c r="F32" s="38">
        <ns0:f>10000/F24</ns0:f>
        <ns0:v>4.221959560044794</ns0:v>
      </ns0:c>
      <ns0:c r="G32" s="12" t="inlineStr">
        <ns0:is>
          <ns0:t>Lower is better</ns0:t>
        </ns0:is>
      </ns0:c>
    </ns0:row>
  </ns0:sheetData>
  <ns0:mergeCells count="1">
    <ns0:mergeCell ref="A14:G1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tabColor rgb="00FFD966"/>
    <ns0:outlinePr summaryBelow="1" summaryRight="1"/>
    <ns0:pageSetUpPr/>
  </ns0:sheetPr>
  <ns0:dimension ref="A1:H43"/>
  <ns0:sheetViews>
    <ns0:sheetView workbookViewId="0">
      <ns0:selection activeCell="A1" sqref="A1"/>
    </ns0:sheetView>
  </ns0:sheetViews>
  <ns0:sheetFormatPr baseColWidth="8" defaultRowHeight="15"/>
  <ns0:cols>
    <ns0:col width="34" customWidth="1" min="1" max="1"/>
    <ns0:col width="14" customWidth="1" min="2" max="2"/>
    <ns0:col width="14" customWidth="1" min="3" max="3"/>
    <ns0:col width="14" customWidth="1" min="4" max="4"/>
    <ns0:col width="14" customWidth="1" min="5" max="5"/>
    <ns0:col width="14" customWidth="1" min="6" max="6"/>
    <ns0:col width="14" customWidth="1" min="7" max="7"/>
    <ns0:col width="40" customWidth="1" min="8" max="8"/>
  </ns0:cols>
  <ns0:sheetData>
    <ns0:row r="1">
      <ns0:c r="A1" s="7" t="inlineStr">
        <ns0:is>
          <ns0:t>Pricing ladder and price sensitivity</ns0:t>
        </ns0:is>
      </ns0:c>
    </ns0:row>
    <ns0:row r="2">
      <ns0:c r="A2" s="2" t="inlineStr">
        <ns0:is>
          <ns0:t>Prices are set on Inputs. This sheet tests whether they are right.</ns0:t>
        </ns0:is>
      </ns0:c>
    </ns0:row>
    <ns0:row r="4" ht="20" customHeight="1">
      <ns0:c r="A4" s="8" t="inlineStr">
        <ns0:is>
          <ns0:t>A. Ladder as designed</ns0:t>
        </ns0:is>
      </ns0:c>
    </ns0:row>
    <ns0:row r="5" ht="28" customHeight="1">
      <ns0:c r="A5" s="21" t="inlineStr">
        <ns0:is>
          <ns0:t>Tier</ns0:t>
        </ns0:is>
      </ns0:c>
      <ns0:c r="B5" s="21" t="inlineStr">
        <ns0:is>
          <ns0:t>Price / mo</ns0:t>
        </ns0:is>
      </ns0:c>
      <ns0:c r="C5" s="21" t="inlineStr">
        <ns0:is>
          <ns0:t>Price / room</ns0:t>
        </ns0:is>
      </ns0:c>
      <ns0:c r="D5" s="21" t="inlineStr">
        <ns0:is>
          <ns0:t>COGS</ns0:t>
        </ns0:is>
      </ns0:c>
      <ns0:c r="E5" s="21" t="inlineStr">
        <ns0:is>
          <ns0:t>Gross profit</ns0:t>
        </ns0:is>
      </ns0:c>
      <ns0:c r="F5" s="21" t="inlineStr">
        <ns0:is>
          <ns0:t>GM %</ns0:t>
        </ns0:is>
      </ns0:c>
      <ns0:c r="G5" s="21" t="inlineStr">
        <ns0:is>
          <ns0:t>Included conversations</ns0:t>
        </ns0:is>
      </ns0:c>
      <ns0:c r="H5" s="21" t="inlineStr">
        <ns0:is>
          <ns0:t>Positioning</ns0:t>
        </ns0:is>
      </ns0:c>
    </ns0:row>
    <ns0:row r="6">
      <ns0:c r="A6" s="39" t="inlineStr">
        <ns0:is>
          <ns0:t>Boutique</ns0:t>
        </ns0:is>
      </ns0:c>
      <ns0:c r="B6" s="31">
        <ns0:f>'Unit Economics'!B12</ns0:f>
        <ns0:v>199</ns0:v>
      </ns0:c>
      <ns0:c r="C6" s="35">
        <ns0:f>'Unit Economics'!B26</ns0:f>
        <ns0:v>8.291666666666666</ns0:v>
      </ns0:c>
      <ns0:c r="D6" s="31">
        <ns0:f>'Unit Economics'!B23</ns0:f>
        <ns0:v>39.319880448</ns0:v>
      </ns0:c>
      <ns0:c r="E6" s="31">
        <ns0:f>'Unit Economics'!B24</ns0:f>
        <ns0:v>159.680119552</ns0:v>
      </ns0:c>
      <ns0:c r="F6" s="37">
        <ns0:f>'Unit Economics'!B25</ns0:f>
        <ns0:v>0.8024126610653267</ns0:v>
      </ns0:c>
      <ns0:c r="G6" s="30">
        <ns0:f>'Unit Economics'!B16</ns0:f>
        <ns0:v>63.03743999999998</ns0:v>
      </ns0:c>
      <ns0:c r="H6" s="11" t="inlineStr">
        <ns0:is>
          <ns0:t>Entry; replaces the FAQ page and the phone that nobody answers</ns0:t>
        </ns0:is>
      </ns0:c>
    </ns0:row>
    <ns0:row r="7">
      <ns0:c r="A7" s="39" t="inlineStr">
        <ns0:is>
          <ns0:t>Independent</ns0:t>
        </ns0:is>
      </ns0:c>
      <ns0:c r="B7" s="31">
        <ns0:f>'Unit Economics'!C12</ns0:f>
        <ns0:v>299</ns0:v>
      </ns0:c>
      <ns0:c r="C7" s="35">
        <ns0:f>'Unit Economics'!C26</ns0:f>
        <ns0:v>5.98</ns0:v>
      </ns0:c>
      <ns0:c r="D7" s="31">
        <ns0:f>'Unit Economics'!C23</ns0:f>
        <ns0:v>59.066368</ns0:v>
      </ns0:c>
      <ns0:c r="E7" s="31">
        <ns0:f>'Unit Economics'!C24</ns0:f>
        <ns0:v>239.933632</ns0:v>
      </ns0:c>
      <ns0:c r="F7" s="37">
        <ns0:f>'Unit Economics'!C25</ns0:f>
        <ns0:v>0.8024536187290969</ns0:v>
      </ns0:c>
      <ns0:c r="G7" s="30">
        <ns0:f>'Unit Economics'!C16</ns0:f>
        <ns0:v>155.04000000000002</ns0:v>
      </ns0:c>
      <ns0:c r="H7" s="11" t="inlineStr">
        <ns0:is>
          <ns0:t>Core offer; priced roughly at the value of the front-desk interruptions it removes</ns0:t>
        </ns0:is>
      </ns0:c>
    </ns0:row>
    <ns0:row r="8">
      <ns0:c r="A8" s="39" t="inlineStr">
        <ns0:is>
          <ns0:t>Midscale</ns0:t>
        </ns0:is>
      </ns0:c>
      <ns0:c r="B8" s="31">
        <ns0:f>'Unit Economics'!D12</ns0:f>
        <ns0:v>599</ns0:v>
      </ns0:c>
      <ns0:c r="C8" s="35">
        <ns0:f>'Unit Economics'!D26</ns0:f>
        <ns0:v>4.991666666666666</ns0:v>
      </ns0:c>
      <ns0:c r="D8" s="31">
        <ns0:f>'Unit Economics'!D23</ns0:f>
        <ns0:v>120.23483999999999</ns0:v>
      </ns0:c>
      <ns0:c r="E8" s="31">
        <ns0:f>'Unit Economics'!D24</ns0:f>
        <ns0:v>478.76516000000004</ns0:v>
      </ns0:c>
      <ns0:c r="F8" s="37">
        <ns0:f>'Unit Economics'!D25</ns0:f>
        <ns0:v>0.7992740567612688</ns0:v>
      </ns0:c>
      <ns0:c r="G8" s="30">
        <ns0:f>'Unit Economics'!D16</ns0:f>
        <ns0:v>434.112</ns0:v>
      </ns0:c>
      <ns0:c r="H8" s="11" t="inlineStr">
        <ns0:is>
          <ns0:t>Multi-outlet; WhatsApp and spa/F&amp;B routing matter here</ns0:t>
        </ns0:is>
      </ns0:c>
    </ns0:row>
    <ns0:row r="9">
      <ns0:c r="A9" s="39" t="inlineStr">
        <ns0:is>
          <ns0:t>Resort</ns0:t>
        </ns0:is>
      </ns0:c>
      <ns0:c r="B9" s="31">
        <ns0:f>'Unit Economics'!E12</ns0:f>
        <ns0:v>1099</ns0:v>
      </ns0:c>
      <ns0:c r="C9" s="35">
        <ns0:f>'Unit Economics'!E26</ns0:f>
        <ns0:v>4.396</ns0:v>
      </ns0:c>
      <ns0:c r="D9" s="31">
        <ns0:f>'Unit Economics'!E23</ns0:f>
        <ns0:v>236.9444</ns0:v>
      </ns0:c>
      <ns0:c r="E9" s="31">
        <ns0:f>'Unit Economics'!E24</ns0:f>
        <ns0:v>862.0556</ns0:v>
      </ns0:c>
      <ns0:c r="F9" s="37">
        <ns0:f>'Unit Economics'!E25</ns0:f>
        <ns0:v>0.7844</ns0:v>
      </ns0:c>
      <ns0:c r="G9" s="30">
        <ns0:f>'Unit Economics'!E16</ns0:f>
        <ns0:v>1026.0</ns0:v>
      </ns0:c>
      <ns0:c r="H9" s="11" t="inlineStr">
        <ns0:is>
          <ns0:t>Highest value per property; group reporting and escalation SLAs</ns0:t>
        </ns0:is>
      </ns0:c>
    </ns0:row>
    <ns0:row r="10">
      <ns0:c r="A10" s="39" t="inlineStr">
        <ns0:is>
          <ns0:t>Group (3 properties)</ns0:t>
        </ns0:is>
      </ns0:c>
      <ns0:c r="B10" s="40">
        <ns0:f>'Unit Economics'!F12</ns0:f>
        <ns0:v>2777.45</ns0:v>
      </ns0:c>
      <ns0:c r="C10" s="41">
        <ns0:f>'Unit Economics'!F12/300</ns0:f>
        <ns0:v>9.258166666666666</ns0:v>
      </ns0:c>
      <ns0:c r="D10" s="40">
        <ns0:f>'Unit Economics'!F23</ns0:f>
        <ns0:v>408.8816</ns0:v>
      </ns0:c>
      <ns0:c r="E10" s="40">
        <ns0:f>'Unit Economics'!F24</ns0:f>
        <ns0:v>2368.5683999999997</ns0:v>
      </ns0:c>
      <ns0:c r="F10" s="42">
        <ns0:f>'Unit Economics'!F25</ns0:f>
        <ns0:v>0.8527852526598138</ns0:v>
      </ns0:c>
      <ns0:c r="G10" s="43">
        <ns0:f>SUM('Unit Economics'!F16)</ns0:f>
        <ns0:v>1149.12</ns0:v>
      </ns0:c>
      <ns0:c r="H10" s="11" t="inlineStr">
        <ns0:is>
          <ns0:t>Governance, brand inheritance, group reporting, SSO</ns0:t>
        </ns0:is>
      </ns0:c>
    </ns0:row>
    <ns0:row r="14" ht="20" customHeight="1">
      <ns0:c r="A14" s="8" t="inlineStr">
        <ns0:is>
          <ns0:t>B. Price sensitivity — Independent tier</ns0:t>
        </ns0:is>
      </ns0:c>
    </ns0:row>
    <ns0:row r="15">
      <ns0:c r="A15" s="2" t="inlineStr">
        <ns0:is>
          <ns0:t>At a steady opex of $12,000/month, how many Independents cover the burn?</ns0:t>
        </ns0:is>
      </ns0:c>
    </ns0:row>
    <ns0:row r="16" ht="28" customHeight="1">
      <ns0:c r="A16" s="21" t="inlineStr">
        <ns0:is>
          <ns0:t>Price / mo</ns0:t>
        </ns0:is>
      </ns0:c>
      <ns0:c r="B16" s="21" t="inlineStr">
        <ns0:is>
          <ns0:t>Gross profit</ns0:t>
        </ns0:is>
      </ns0:c>
      <ns0:c r="C16" s="21" t="inlineStr">
        <ns0:is>
          <ns0:t>GM %</ns0:t>
        </ns0:is>
      </ns0:c>
      <ns0:c r="D16" s="21" t="inlineStr">
        <ns0:is>
          <ns0:t>Properties to break even</ns0:t>
        </ns0:is>
      </ns0:c>
      <ns0:c r="E16" s="21" t="inlineStr">
        <ns0:is>
          <ns0:t>Extra vs. $299</ns0:t>
        </ns0:is>
      </ns0:c>
      <ns0:c r="F16" s="21" t="inlineStr">
        <ns0:is>
          <ns0:t>Verdict</ns0:t>
        </ns0:is>
      </ns0:c>
      <ns0:c r="G16" s="21" t="inlineStr"/>
      <ns0:c r="H16" s="21" t="inlineStr"/>
    </ns0:row>
    <ns0:row r="17">
      <ns0:c r="A17" s="31" t="n">
        <ns0:v>199</ns0:v>
      </ns0:c>
      <ns0:c r="B17" s="31">
        <ns0:f>A17-('Unit Economics'!C23-'Unit Economics'!C12*Inputs!$B$12)-A17*Inputs!$B$12</ns0:f>
        <ns0:v>143.533632</ns0:v>
      </ns0:c>
      <ns0:c r="C17" s="37">
        <ns0:f>B17/A17</ns0:f>
        <ns0:v>0.7212745326633166</ns0:v>
      </ns0:c>
      <ns0:c r="D17" s="38">
        <ns0:f>12000/B17</ns0:f>
        <ns0:v>83.60409914242258</ns0:v>
      </ns0:c>
      <ns0:c r="E17" s="44">
        <ns0:f>D17-12000/('Unit Economics'!C24)</ns0:f>
        <ns0:v>33.59026865116407</ns0:v>
      </ns0:c>
      <ns0:c r="F17" s="45" t="inlineStr">
        <ns0:is>
          <ns0:t>Floor. Only viable with self-serve onboarding.</ns0:t>
        </ns0:is>
      </ns0:c>
    </ns0:row>
    <ns0:row r="18">
      <ns0:c r="A18" s="31" t="n">
        <ns0:v>249</ns0:v>
      </ns0:c>
      <ns0:c r="B18" s="31">
        <ns0:f>A18-('Unit Economics'!C23-'Unit Economics'!C12*Inputs!$B$12)-A18*Inputs!$B$12</ns0:f>
        <ns0:v>191.733632</ns0:v>
      </ns0:c>
      <ns0:c r="C18" s="37">
        <ns0:f>B18/A18</ns0:f>
        <ns0:v>0.7700145863453816</ns0:v>
      </ns0:c>
      <ns0:c r="D18" s="38">
        <ns0:f>12000/B18</ns0:f>
        <ns0:v>62.58682879381328</ns0:v>
      </ns0:c>
      <ns0:c r="E18" s="44">
        <ns0:f>D18-12000/('Unit Economics'!C24)</ns0:f>
        <ns0:v>12.572998302554765</ns0:v>
      </ns0:c>
      <ns0:c r="F18" s="45" t="inlineStr">
        <ns0:is>
          <ns0:t>Aggressive; use for annual prepay, not standard</ns0:t>
        </ns0:is>
      </ns0:c>
    </ns0:row>
    <ns0:row r="19">
      <ns0:c r="A19" s="29" t="n">
        <ns0:v>299</ns0:v>
      </ns0:c>
      <ns0:c r="B19" s="29">
        <ns0:f>A19-('Unit Economics'!C23-'Unit Economics'!C12*Inputs!$B$12)-A19*Inputs!$B$12</ns0:f>
        <ns0:v>239.933632</ns0:v>
      </ns0:c>
      <ns0:c r="C19" s="46">
        <ns0:f>B19/A19</ns0:f>
        <ns0:v>0.8024536187290969</ns0:v>
      </ns0:c>
      <ns0:c r="D19" s="47">
        <ns0:f>12000/B19</ns0:f>
        <ns0:v>50.01383049125852</ns0:v>
      </ns0:c>
      <ns0:c r="E19" s="48">
        <ns0:f>D19-12000/('Unit Economics'!C24)</ns0:f>
        <ns0:v>0.0</ns0:v>
      </ns0:c>
      <ns0:c r="F19" s="49" t="inlineStr">
        <ns0:is>
          <ns0:t>Recommended launch price for Independent</ns0:t>
        </ns0:is>
      </ns0:c>
    </ns0:row>
    <ns0:row r="20">
      <ns0:c r="A20" s="31" t="n">
        <ns0:v>349</ns0:v>
      </ns0:c>
      <ns0:c r="B20" s="31">
        <ns0:f>A20-('Unit Economics'!C23-'Unit Economics'!C12*Inputs!$B$12)-A20*Inputs!$B$12</ns0:f>
        <ns0:v>288.133632</ns0:v>
      </ns0:c>
      <ns0:c r="C20" s="37">
        <ns0:f>B20/A20</ns0:f>
        <ns0:v>0.825597799426934</ns0:v>
      </ns0:c>
      <ns0:c r="D20" s="38">
        <ns0:f>12000/B20</ns0:f>
        <ns0:v>41.64734229983954</ns0:v>
      </ns0:c>
      <ns0:c r="E20" s="44">
        <ns0:f>D20-12000/('Unit Economics'!C24)</ns0:f>
        <ns0:v>-8.366488191418973</ns0:v>
      </ns0:c>
      <ns0:c r="F20" s="45" t="inlineStr">
        <ns0:is>
          <ns0:t>Post-pilot price once containment is proven</ns0:t>
        </ns0:is>
      </ns0:c>
    </ns0:row>
    <ns0:row r="21">
      <ns0:c r="A21" s="31" t="n">
        <ns0:v>449</ns0:v>
      </ns0:c>
      <ns0:c r="B21" s="31">
        <ns0:f>A21-('Unit Economics'!C23-'Unit Economics'!C12*Inputs!$B$12)-A21*Inputs!$B$12</ns0:f>
        <ns0:v>384.533632</ns0:v>
      </ns0:c>
      <ns0:c r="C21" s="37">
        <ns0:f>B21/A21</ns0:f>
        <ns0:v>0.8564223429844098</ns0:v>
      </ns0:c>
      <ns0:c r="D21" s="38">
        <ns0:f>12000/B21</ns0:f>
        <ns0:v>31.20663318208796</ns0:v>
      </ns0:c>
      <ns0:c r="E21" s="44">
        <ns0:f>D21-12000/('Unit Economics'!C24)</ns0:f>
        <ns0:v>-18.807197309170558</ns0:v>
      </ns0:c>
      <ns0:c r="F21" s="45" t="inlineStr">
        <ns0:is>
          <ns0:t>Needs a stronger ROI story than labour</ns0:t>
        </ns0:is>
      </ns0:c>
    </ns0:row>
    <ns0:row r="22">
      <ns0:c r="A22" s="31" t="n">
        <ns0:v>599</ns0:v>
      </ns0:c>
      <ns0:c r="B22" s="31">
        <ns0:f>A22-('Unit Economics'!C23-'Unit Economics'!C12*Inputs!$B$12)-A22*Inputs!$B$12</ns0:f>
        <ns0:v>529.133632</ns0:v>
      </ns0:c>
      <ns0:c r="C22" s="37">
        <ns0:f>B22/A22</ns0:f>
        <ns0:v>0.8833616560934892</ns0:v>
      </ns0:c>
      <ns0:c r="D22" s="38">
        <ns0:f>12000/B22</ns0:f>
        <ns0:v>22.67858112636469</ns0:v>
      </ns0:c>
      <ns0:c r="E22" s="44">
        <ns0:f>D22-12000/('Unit Economics'!C24)</ns0:f>
        <ns0:v>-27.335249364893826</ns0:v>
      </ns0:c>
      <ns0:c r="F22" s="45" t="inlineStr">
        <ns0:is>
          <ns0:t>Midscale territory — do not sell Independents here</ns0:t>
        </ns0:is>
      </ns0:c>
    </ns0:row>
    <ns0:row r="23">
      <ns0:c r="A23" s="31" t="n">
        <ns0:v>749</ns0:v>
      </ns0:c>
      <ns0:c r="B23" s="31">
        <ns0:f>A23-('Unit Economics'!C23-'Unit Economics'!C12*Inputs!$B$12)-A23*Inputs!$B$12</ns0:f>
        <ns0:v>673.733632</ns0:v>
      </ns0:c>
      <ns0:c r="C23" s="37">
        <ns0:f>B23/A23</ns0:f>
        <ns0:v>0.8995108571428571</ns0:v>
      </ns0:c>
      <ns0:c r="D23" s="38">
        <ns0:f>12000/B23</ns0:f>
        <ns0:v>17.811193370854316</ns0:v>
      </ns0:c>
      <ns0:c r="E23" s="44">
        <ns0:f>D23-12000/('Unit Economics'!C24)</ns0:f>
        <ns0:v>-32.202637120404205</ns0:v>
      </ns0:c>
      <ns0:c r="F23" s="45" t="inlineStr">
        <ns0:is>
          <ns0:t>Off-ladder</ns0:t>
        </ns0:is>
      </ns0:c>
    </ns0:row>
    <ns0:row r="25">
      <ns0:c r="A25" s="2" t="inlineStr">
        <ns0:is>
          <ns0:t>Read: price has more leverage on breakeven than any cost line, because support cost is fixed per property and price is pure contribution.</ns0:t>
        </ns0:is>
      </ns0:c>
    </ns0:row>
    <ns0:row r="27" ht="20" customHeight="1">
      <ns0:c r="A27" s="8" t="inlineStr">
        <ns0:is>
          <ns0:t>C. What to do with this</ns0:t>
        </ns0:is>
      </ns0:c>
    </ns0:row>
    <ns0:row r="28" ht="26" customHeight="1">
      <ns0:c r="A28" s="6" t="inlineStr">
        <ns0:is>
          <ns0:t>1. Launch at $299 / $599 for Independent and Midscale. $349 is the post-pilot price, once containment is proven.</ns0:t>
        </ns0:is>
      </ns0:c>
    </ns0:row>
    <ns0:row r="29" ht="26" customHeight="1">
      <ns0:c r="A29" s="6" t="inlineStr">
        <ns0:is>
          <ns0:t>2. Offer 2 months free on annual prepay rather than a lower monthly price. Cash today, same ARR, no precedent for discounting.</ns0:t>
        </ns0:is>
      </ns0:c>
    </ns0:row>
    <ns0:row r="30" ht="26" customHeight="1">
      <ns0:c r="A30" s="6" t="inlineStr">
        <ns0:is>
          <ns0:t>3. Quote per room per month ($5.98 for a 50-room hotel). It anchors against a hire, not against other software.</ns0:t>
        </ns0:is>
      </ns0:c>
    </ns0:row>
    <ns0:row r="31" ht="26" customHeight="1">
      <ns0:c r="A31" s="6" t="inlineStr">
        <ns0:is>
          <ns0:t>4. Revisit after 90 days of pilot data. If containment is above 55%, move the Independent price to $349 for new logos and grandfather the pilot.</ns0:t>
        </ns0:is>
      </ns0:c>
    </ns0:row>
    <ns0:row r="32" ht="26" customHeight="1">
      <ns0:c r="A32" s="6" t="inlineStr">
        <ns0:is>
          <ns0:t>5. Group: $1,250 platform fee + 85% of list per property. The platform fee is what pays for governance work you will otherwise do for free.</ns0:t>
        </ns0:is>
      </ns0:c>
    </ns0:row>
    <ns0:row r="34" ht="20" customHeight="1">
      <ns0:c r="A34" s="8" t="inlineStr">
        <ns0:is>
          <ns0:t>D. Acquisition economics</ns0:t>
        </ns0:is>
      </ns0:c>
    </ns0:row>
    <ns0:row r="35">
      <ns0:c r="A35" s="9" t="inlineStr">
        <ns0:is>
          <ns0:t>Customer acquisition cost (blended)</ns0:t>
        </ns0:is>
      </ns0:c>
      <ns0:c r="B35" s="18" t="n">
        <ns0:v>1750</ns0:v>
      </ns0:c>
      <ns0:c r="C35" s="11" t="inlineStr">
        <ns0:is>
          <ns0:t>Founder-led sales at trade events is cheaper; paid acquisition is dearer. Replace with actuals after 20 deals.</ns0:t>
        </ns0:is>
      </ns0:c>
    </ns0:row>
    <ns0:row r="36">
      <ns0:c r="A36" s="9" t="inlineStr">
        <ns0:is>
          <ns0:t>Expected customer life (months)</ns0:t>
        </ns0:is>
      </ns0:c>
      <ns0:c r="B36" s="50">
        <ns0:f>1/Inputs!$B$10</ns0:f>
        <ns0:v>40.0</ns0:v>
      </ns0:c>
      <ns0:c r="C36" s="11" t="inlineStr">
        <ns0:is>
          <ns0:t>1 ÷ monthly churn from Inputs</ns0:t>
        </ns0:is>
      </ns0:c>
    </ns0:row>
    <ns0:row r="38" ht="28" customHeight="1">
      <ns0:c r="A38" s="21" t="inlineStr">
        <ns0:is>
          <ns0:t>Tier</ns0:t>
        </ns0:is>
      </ns0:c>
      <ns0:c r="B38" s="21" t="inlineStr">
        <ns0:is>
          <ns0:t>Gross profit / mo</ns0:t>
        </ns0:is>
      </ns0:c>
      <ns0:c r="C38" s="21" t="inlineStr">
        <ns0:is>
          <ns0:t>CAC payback (months)</ns0:t>
        </ns0:is>
      </ns0:c>
      <ns0:c r="D38" s="21" t="inlineStr">
        <ns0:is>
          <ns0:t>LTV (months × GP)</ns0:t>
        </ns0:is>
      </ns0:c>
      <ns0:c r="E38" s="21" t="inlineStr">
        <ns0:is>
          <ns0:t>LTV ÷ CAC</ns0:t>
        </ns0:is>
      </ns0:c>
      <ns0:c r="F38" s="21" t="inlineStr"/>
      <ns0:c r="G38" s="21" t="inlineStr"/>
      <ns0:c r="H38" s="21" t="inlineStr"/>
    </ns0:row>
    <ns0:row r="39">
      <ns0:c r="A39" s="39" t="inlineStr">
        <ns0:is>
          <ns0:t>Boutique</ns0:t>
        </ns0:is>
      </ns0:c>
      <ns0:c r="B39" s="31">
        <ns0:f>'Unit Economics'!B24</ns0:f>
        <ns0:v>159.680119552</ns0:v>
      </ns0:c>
      <ns0:c r="C39" s="38">
        <ns0:f>$B$35/B39</ns0:f>
        <ns0:v>10.959410632393162</ns0:v>
      </ns0:c>
      <ns0:c r="D39" s="31">
        <ns0:f>B39*$B$36</ns0:f>
        <ns0:v>6387.20478208</ns0:v>
      </ns0:c>
      <ns0:c r="E39" s="51">
        <ns0:f>D39/$B$35</ns0:f>
        <ns0:v>3.649831304045714</ns0:v>
      </ns0:c>
    </ns0:row>
    <ns0:row r="40">
      <ns0:c r="A40" s="39" t="inlineStr">
        <ns0:is>
          <ns0:t>Independent</ns0:t>
        </ns0:is>
      </ns0:c>
      <ns0:c r="B40" s="31">
        <ns0:f>'Unit Economics'!C24</ns0:f>
        <ns0:v>239.933632</ns0:v>
      </ns0:c>
      <ns0:c r="C40" s="38">
        <ns0:f>$B$35/B40</ns0:f>
        <ns0:v>7.293683613308534</ns0:v>
      </ns0:c>
      <ns0:c r="D40" s="31">
        <ns0:f>B40*$B$36</ns0:f>
        <ns0:v>9597.34528</ns0:v>
      </ns0:c>
      <ns0:c r="E40" s="51">
        <ns0:f>D40/$B$35</ns0:f>
        <ns0:v>5.484197302857143</ns0:v>
      </ns0:c>
    </ns0:row>
    <ns0:row r="41">
      <ns0:c r="A41" s="39" t="inlineStr">
        <ns0:is>
          <ns0:t>Midscale</ns0:t>
        </ns0:is>
      </ns0:c>
      <ns0:c r="B41" s="31">
        <ns0:f>'Unit Economics'!D24</ns0:f>
        <ns0:v>478.76516000000004</ns0:v>
      </ns0:c>
      <ns0:c r="C41" s="38">
        <ns0:f>$B$35/B41</ns0:f>
        <ns0:v>3.6552367344357304</ns0:v>
      </ns0:c>
      <ns0:c r="D41" s="31">
        <ns0:f>B41*$B$36</ns0:f>
        <ns0:v>19150.6064</ns0:v>
      </ns0:c>
      <ns0:c r="E41" s="52">
        <ns0:f>D41/$B$35</ns0:f>
        <ns0:v>10.943203657142858</ns0:v>
      </ns0:c>
    </ns0:row>
    <ns0:row r="42">
      <ns0:c r="A42" s="39" t="inlineStr">
        <ns0:is>
          <ns0:t>Resort</ns0:t>
        </ns0:is>
      </ns0:c>
      <ns0:c r="B42" s="31">
        <ns0:f>'Unit Economics'!E24</ns0:f>
        <ns0:v>862.0556</ns0:v>
      </ns0:c>
      <ns0:c r="C42" s="38">
        <ns0:f>$B$35/B42</ns0:f>
        <ns0:v>2.0300314736079668</ns0:v>
      </ns0:c>
      <ns0:c r="D42" s="31">
        <ns0:f>B42*$B$36</ns0:f>
        <ns0:v>34482.224</ns0:v>
      </ns0:c>
      <ns0:c r="E42" s="52">
        <ns0:f>D42/$B$35</ns0:f>
        <ns0:v>19.704128</ns0:v>
      </ns0:c>
    </ns0:row>
    <ns0:row r="43" ht="26" customHeight="1">
      <ns0:c r="A43" s="2" t="inlineStr">
        <ns0:is>
          <ns0:t>Boutique payback above 10 months is too long for a self-serve tier. Another argument for keeping its acquisition cost near zero and treating it as a reference logo, not a profit centre.</ns0:t>
        </ns0:is>
      </ns0:c>
    </ns0:row>
  </ns0:sheetData>
  <ns0:mergeCells count="14">
    <ns0:mergeCell ref="A4:H4"/>
    <ns0:mergeCell ref="A30:H30"/>
    <ns0:mergeCell ref="A15:H15"/>
    <ns0:mergeCell ref="A29:H29"/>
    <ns0:mergeCell ref="A25:H25"/>
    <ns0:mergeCell ref="C36:H36"/>
    <ns0:mergeCell ref="A43:H43"/>
    <ns0:mergeCell ref="A28:H28"/>
    <ns0:mergeCell ref="A14:H14"/>
    <ns0:mergeCell ref="C35:H35"/>
    <ns0:mergeCell ref="A32:H32"/>
    <ns0:mergeCell ref="A27:H27"/>
    <ns0:mergeCell ref="A31:H31"/>
    <ns0:mergeCell ref="A34:H3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tabColor rgb="00B4A7D6"/>
    <ns0:outlinePr summaryBelow="1" summaryRight="1"/>
    <ns0:pageSetUpPr/>
  </ns0:sheetPr>
  <ns0:dimension ref="A1:Z59"/>
  <ns0:sheetViews>
    <ns0:sheetView workbookViewId="0">
      <ns0:selection activeCell="A1" sqref="A1"/>
    </ns0:sheetView>
  </ns0:sheetViews>
  <ns0:sheetFormatPr baseColWidth="8" defaultRowHeight="15"/>
  <ns0:cols>
    <ns0:col width="34" customWidth="1" min="1" max="1"/>
    <ns0:col width="8" customWidth="1" min="2" max="2"/>
    <ns0:col width="9.5" customWidth="1" min="3" max="3"/>
    <ns0:col width="9.5" customWidth="1" min="4" max="4"/>
    <ns0:col width="9.5" customWidth="1" min="5" max="5"/>
    <ns0:col width="9.5" customWidth="1" min="6" max="6"/>
    <ns0:col width="9.5" customWidth="1" min="7" max="7"/>
    <ns0:col width="9.5" customWidth="1" min="8" max="8"/>
    <ns0:col width="9.5" customWidth="1" min="9" max="9"/>
    <ns0:col width="9.5" customWidth="1" min="10" max="10"/>
    <ns0:col width="9.5" customWidth="1" min="11" max="11"/>
    <ns0:col width="9.5" customWidth="1" min="12" max="12"/>
    <ns0:col width="9.5" customWidth="1" min="13" max="13"/>
    <ns0:col width="9.5" customWidth="1" min="14" max="14"/>
    <ns0:col width="9.5" customWidth="1" min="15" max="15"/>
    <ns0:col width="9.5" customWidth="1" min="16" max="16"/>
    <ns0:col width="9.5" customWidth="1" min="17" max="17"/>
    <ns0:col width="9.5" customWidth="1" min="18" max="18"/>
    <ns0:col width="9.5" customWidth="1" min="19" max="19"/>
    <ns0:col width="9.5" customWidth="1" min="20" max="20"/>
    <ns0:col width="9.5" customWidth="1" min="21" max="21"/>
    <ns0:col width="9.5" customWidth="1" min="22" max="22"/>
    <ns0:col width="9.5" customWidth="1" min="23" max="23"/>
    <ns0:col width="9.5" customWidth="1" min="24" max="24"/>
    <ns0:col width="9.5" customWidth="1" min="25" max="25"/>
    <ns0:col width="9.5" customWidth="1" min="26" max="26"/>
  </ns0:cols>
  <ns0:sheetData>
    <ns0:row r="1">
      <ns0:c r="A1" s="7" t="inlineStr">
        <ns0:is>
          <ns0:t>24-month projection — driven by the scenario selector on Inputs</ns0:t>
        </ns0:is>
      </ns0:c>
    </ns0:row>
    <ns0:row r="2">
      <ns0:c r="A2" s="53" t="str">
        <ns0:f>CONCATENATE("Active scenario: ",Inputs!$B$6)</ns0:f>
        <ns0:v>Active scenario: Funded</ns0:v>
      </ns0:c>
    </ns0:row>
    <ns0:row r="4" ht="28" customHeight="1">
      <ns0:c r="A4" s="21" t="inlineStr">
        <ns0:is>
          <ns0:t>Line</ns0:t>
        </ns0:is>
      </ns0:c>
      <ns0:c r="B4" s="21" t="inlineStr"/>
      <ns0:c r="C4" s="21" t="inlineStr">
        <ns0:is>
          <ns0:t>M1</ns0:t>
        </ns0:is>
      </ns0:c>
      <ns0:c r="D4" s="21" t="inlineStr">
        <ns0:is>
          <ns0:t>M2</ns0:t>
        </ns0:is>
      </ns0:c>
      <ns0:c r="E4" s="21" t="inlineStr">
        <ns0:is>
          <ns0:t>M3</ns0:t>
        </ns0:is>
      </ns0:c>
      <ns0:c r="F4" s="21" t="inlineStr">
        <ns0:is>
          <ns0:t>M4</ns0:t>
        </ns0:is>
      </ns0:c>
      <ns0:c r="G4" s="21" t="inlineStr">
        <ns0:is>
          <ns0:t>M5</ns0:t>
        </ns0:is>
      </ns0:c>
      <ns0:c r="H4" s="21" t="inlineStr">
        <ns0:is>
          <ns0:t>M6</ns0:t>
        </ns0:is>
      </ns0:c>
      <ns0:c r="I4" s="21" t="inlineStr">
        <ns0:is>
          <ns0:t>M7</ns0:t>
        </ns0:is>
      </ns0:c>
      <ns0:c r="J4" s="21" t="inlineStr">
        <ns0:is>
          <ns0:t>M8</ns0:t>
        </ns0:is>
      </ns0:c>
      <ns0:c r="K4" s="21" t="inlineStr">
        <ns0:is>
          <ns0:t>M9</ns0:t>
        </ns0:is>
      </ns0:c>
      <ns0:c r="L4" s="21" t="inlineStr">
        <ns0:is>
          <ns0:t>M10</ns0:t>
        </ns0:is>
      </ns0:c>
      <ns0:c r="M4" s="21" t="inlineStr">
        <ns0:is>
          <ns0:t>M11</ns0:t>
        </ns0:is>
      </ns0:c>
      <ns0:c r="N4" s="21" t="inlineStr">
        <ns0:is>
          <ns0:t>M12</ns0:t>
        </ns0:is>
      </ns0:c>
      <ns0:c r="O4" s="21" t="inlineStr">
        <ns0:is>
          <ns0:t>M13</ns0:t>
        </ns0:is>
      </ns0:c>
      <ns0:c r="P4" s="21" t="inlineStr">
        <ns0:is>
          <ns0:t>M14</ns0:t>
        </ns0:is>
      </ns0:c>
      <ns0:c r="Q4" s="21" t="inlineStr">
        <ns0:is>
          <ns0:t>M15</ns0:t>
        </ns0:is>
      </ns0:c>
      <ns0:c r="R4" s="21" t="inlineStr">
        <ns0:is>
          <ns0:t>M16</ns0:t>
        </ns0:is>
      </ns0:c>
      <ns0:c r="S4" s="21" t="inlineStr">
        <ns0:is>
          <ns0:t>M17</ns0:t>
        </ns0:is>
      </ns0:c>
      <ns0:c r="T4" s="21" t="inlineStr">
        <ns0:is>
          <ns0:t>M18</ns0:t>
        </ns0:is>
      </ns0:c>
      <ns0:c r="U4" s="21" t="inlineStr">
        <ns0:is>
          <ns0:t>M19</ns0:t>
        </ns0:is>
      </ns0:c>
      <ns0:c r="V4" s="21" t="inlineStr">
        <ns0:is>
          <ns0:t>M20</ns0:t>
        </ns0:is>
      </ns0:c>
      <ns0:c r="W4" s="21" t="inlineStr">
        <ns0:is>
          <ns0:t>M21</ns0:t>
        </ns0:is>
      </ns0:c>
      <ns0:c r="X4" s="21" t="inlineStr">
        <ns0:is>
          <ns0:t>M22</ns0:t>
        </ns0:is>
      </ns0:c>
      <ns0:c r="Y4" s="21" t="inlineStr">
        <ns0:is>
          <ns0:t>M23</ns0:t>
        </ns0:is>
      </ns0:c>
      <ns0:c r="Z4" s="21" t="inlineStr">
        <ns0:is>
          <ns0:t>M24</ns0:t>
        </ns0:is>
      </ns0:c>
    </ns0:row>
    <ns0:row r="5">
      <ns0:c r="A5" s="54" t="inlineStr">
        <ns0:is>
          <ns0:t>QUARTER</ns0:t>
        </ns0:is>
      </ns0:c>
      <ns0:c r="C5" s="30">
        <ns0:f>INT((1-1)/3)+1</ns0:f>
        <ns0:v>1.0</ns0:v>
      </ns0:c>
      <ns0:c r="D5" s="30">
        <ns0:f>INT((2-1)/3)+1</ns0:f>
        <ns0:v>1.0</ns0:v>
      </ns0:c>
      <ns0:c r="E5" s="30">
        <ns0:f>INT((3-1)/3)+1</ns0:f>
        <ns0:v>1.0</ns0:v>
      </ns0:c>
      <ns0:c r="F5" s="30">
        <ns0:f>INT((4-1)/3)+1</ns0:f>
        <ns0:v>2.0</ns0:v>
      </ns0:c>
      <ns0:c r="G5" s="30">
        <ns0:f>INT((5-1)/3)+1</ns0:f>
        <ns0:v>2.0</ns0:v>
      </ns0:c>
      <ns0:c r="H5" s="30">
        <ns0:f>INT((6-1)/3)+1</ns0:f>
        <ns0:v>2.0</ns0:v>
      </ns0:c>
      <ns0:c r="I5" s="30">
        <ns0:f>INT((7-1)/3)+1</ns0:f>
        <ns0:v>3.0</ns0:v>
      </ns0:c>
      <ns0:c r="J5" s="30">
        <ns0:f>INT((8-1)/3)+1</ns0:f>
        <ns0:v>3.0</ns0:v>
      </ns0:c>
      <ns0:c r="K5" s="30">
        <ns0:f>INT((9-1)/3)+1</ns0:f>
        <ns0:v>3.0</ns0:v>
      </ns0:c>
      <ns0:c r="L5" s="30">
        <ns0:f>INT((10-1)/3)+1</ns0:f>
        <ns0:v>4.0</ns0:v>
      </ns0:c>
      <ns0:c r="M5" s="30">
        <ns0:f>INT((11-1)/3)+1</ns0:f>
        <ns0:v>4.0</ns0:v>
      </ns0:c>
      <ns0:c r="N5" s="30">
        <ns0:f>INT((12-1)/3)+1</ns0:f>
        <ns0:v>4.0</ns0:v>
      </ns0:c>
      <ns0:c r="O5" s="30">
        <ns0:f>INT((13-1)/3)+1</ns0:f>
        <ns0:v>5.0</ns0:v>
      </ns0:c>
      <ns0:c r="P5" s="30">
        <ns0:f>INT((14-1)/3)+1</ns0:f>
        <ns0:v>5.0</ns0:v>
      </ns0:c>
      <ns0:c r="Q5" s="30">
        <ns0:f>INT((15-1)/3)+1</ns0:f>
        <ns0:v>5.0</ns0:v>
      </ns0:c>
      <ns0:c r="R5" s="30">
        <ns0:f>INT((16-1)/3)+1</ns0:f>
        <ns0:v>6.0</ns0:v>
      </ns0:c>
      <ns0:c r="S5" s="30">
        <ns0:f>INT((17-1)/3)+1</ns0:f>
        <ns0:v>6.0</ns0:v>
      </ns0:c>
      <ns0:c r="T5" s="30">
        <ns0:f>INT((18-1)/3)+1</ns0:f>
        <ns0:v>6.0</ns0:v>
      </ns0:c>
      <ns0:c r="U5" s="30">
        <ns0:f>INT((19-1)/3)+1</ns0:f>
        <ns0:v>7.0</ns0:v>
      </ns0:c>
      <ns0:c r="V5" s="30">
        <ns0:f>INT((20-1)/3)+1</ns0:f>
        <ns0:v>7.0</ns0:v>
      </ns0:c>
      <ns0:c r="W5" s="30">
        <ns0:f>INT((21-1)/3)+1</ns0:f>
        <ns0:v>7.0</ns0:v>
      </ns0:c>
      <ns0:c r="X5" s="30">
        <ns0:f>INT((22-1)/3)+1</ns0:f>
        <ns0:v>8.0</ns0:v>
      </ns0:c>
      <ns0:c r="Y5" s="30">
        <ns0:f>INT((23-1)/3)+1</ns0:f>
        <ns0:v>8.0</ns0:v>
      </ns0:c>
      <ns0:c r="Z5" s="30">
        <ns0:f>INT((24-1)/3)+1</ns0:f>
        <ns0:v>8.0</ns0:v>
      </ns0:c>
    </ns0:row>
    <ns0:row r="6" ht="20" customHeight="1">
      <ns0:c r="A6" s="8" t="inlineStr">
        <ns0:is>
          <ns0:t>Pipeline</ns0:t>
        </ns0:is>
      </ns0:c>
    </ns0:row>
    <ns0:row r="7">
      <ns0:c r="A7" s="9" t="inlineStr">
        <ns0:is>
          <ns0:t>Boutique adds</ns0:t>
        </ns0:is>
      </ns0:c>
      <ns0:c r="C7" s="55">
        <ns0:f>INDEX(Inputs!$B$54:$I$54,C$5)*Inputs!$B$70/3</ns0:f>
        <ns0:v>0.0</ns0:v>
      </ns0:c>
      <ns0:c r="D7" s="55">
        <ns0:f>INDEX(Inputs!$B$54:$I$54,D$5)*Inputs!$B$70/3</ns0:f>
        <ns0:v>0.0</ns0:v>
      </ns0:c>
      <ns0:c r="E7" s="55">
        <ns0:f>INDEX(Inputs!$B$54:$I$54,E$5)*Inputs!$B$70/3</ns0:f>
        <ns0:v>0.0</ns0:v>
      </ns0:c>
      <ns0:c r="F7" s="55">
        <ns0:f>INDEX(Inputs!$B$54:$I$54,F$5)*Inputs!$B$70/3</ns0:f>
        <ns0:v>0.3333333333333333</ns0:v>
      </ns0:c>
      <ns0:c r="G7" s="55">
        <ns0:f>INDEX(Inputs!$B$54:$I$54,G$5)*Inputs!$B$70/3</ns0:f>
        <ns0:v>0.3333333333333333</ns0:v>
      </ns0:c>
      <ns0:c r="H7" s="55">
        <ns0:f>INDEX(Inputs!$B$54:$I$54,H$5)*Inputs!$B$70/3</ns0:f>
        <ns0:v>0.3333333333333333</ns0:v>
      </ns0:c>
      <ns0:c r="I7" s="55">
        <ns0:f>INDEX(Inputs!$B$54:$I$54,I$5)*Inputs!$B$70/3</ns0:f>
        <ns0:v>0.3333333333333333</ns0:v>
      </ns0:c>
      <ns0:c r="J7" s="55">
        <ns0:f>INDEX(Inputs!$B$54:$I$54,J$5)*Inputs!$B$70/3</ns0:f>
        <ns0:v>0.3333333333333333</ns0:v>
      </ns0:c>
      <ns0:c r="K7" s="55">
        <ns0:f>INDEX(Inputs!$B$54:$I$54,K$5)*Inputs!$B$70/3</ns0:f>
        <ns0:v>0.3333333333333333</ns0:v>
      </ns0:c>
      <ns0:c r="L7" s="55">
        <ns0:f>INDEX(Inputs!$B$54:$I$54,L$5)*Inputs!$B$70/3</ns0:f>
        <ns0:v>0.3333333333333333</ns0:v>
      </ns0:c>
      <ns0:c r="M7" s="55">
        <ns0:f>INDEX(Inputs!$B$54:$I$54,M$5)*Inputs!$B$70/3</ns0:f>
        <ns0:v>0.3333333333333333</ns0:v>
      </ns0:c>
      <ns0:c r="N7" s="55">
        <ns0:f>INDEX(Inputs!$B$54:$I$54,N$5)*Inputs!$B$70/3</ns0:f>
        <ns0:v>0.3333333333333333</ns0:v>
      </ns0:c>
      <ns0:c r="O7" s="55">
        <ns0:f>INDEX(Inputs!$B$54:$I$54,O$5)*Inputs!$B$70/3</ns0:f>
        <ns0:v>0.3333333333333333</ns0:v>
      </ns0:c>
      <ns0:c r="P7" s="55">
        <ns0:f>INDEX(Inputs!$B$54:$I$54,P$5)*Inputs!$B$70/3</ns0:f>
        <ns0:v>0.3333333333333333</ns0:v>
      </ns0:c>
      <ns0:c r="Q7" s="55">
        <ns0:f>INDEX(Inputs!$B$54:$I$54,Q$5)*Inputs!$B$70/3</ns0:f>
        <ns0:v>0.3333333333333333</ns0:v>
      </ns0:c>
      <ns0:c r="R7" s="55">
        <ns0:f>INDEX(Inputs!$B$54:$I$54,R$5)*Inputs!$B$70/3</ns0:f>
        <ns0:v>0.3333333333333333</ns0:v>
      </ns0:c>
      <ns0:c r="S7" s="55">
        <ns0:f>INDEX(Inputs!$B$54:$I$54,S$5)*Inputs!$B$70/3</ns0:f>
        <ns0:v>0.3333333333333333</ns0:v>
      </ns0:c>
      <ns0:c r="T7" s="55">
        <ns0:f>INDEX(Inputs!$B$54:$I$54,T$5)*Inputs!$B$70/3</ns0:f>
        <ns0:v>0.3333333333333333</ns0:v>
      </ns0:c>
      <ns0:c r="U7" s="55">
        <ns0:f>INDEX(Inputs!$B$54:$I$54,U$5)*Inputs!$B$70/3</ns0:f>
        <ns0:v>0.3333333333333333</ns0:v>
      </ns0:c>
      <ns0:c r="V7" s="55">
        <ns0:f>INDEX(Inputs!$B$54:$I$54,V$5)*Inputs!$B$70/3</ns0:f>
        <ns0:v>0.3333333333333333</ns0:v>
      </ns0:c>
      <ns0:c r="W7" s="55">
        <ns0:f>INDEX(Inputs!$B$54:$I$54,W$5)*Inputs!$B$70/3</ns0:f>
        <ns0:v>0.3333333333333333</ns0:v>
      </ns0:c>
      <ns0:c r="X7" s="55">
        <ns0:f>INDEX(Inputs!$B$54:$I$54,X$5)*Inputs!$B$70/3</ns0:f>
        <ns0:v>0.3333333333333333</ns0:v>
      </ns0:c>
      <ns0:c r="Y7" s="55">
        <ns0:f>INDEX(Inputs!$B$54:$I$54,Y$5)*Inputs!$B$70/3</ns0:f>
        <ns0:v>0.3333333333333333</ns0:v>
      </ns0:c>
      <ns0:c r="Z7" s="55">
        <ns0:f>INDEX(Inputs!$B$54:$I$54,Z$5)*Inputs!$B$70/3</ns0:f>
        <ns0:v>0.3333333333333333</ns0:v>
      </ns0:c>
    </ns0:row>
    <ns0:row r="8">
      <ns0:c r="A8" s="9" t="inlineStr">
        <ns0:is>
          <ns0:t>Independent adds</ns0:t>
        </ns0:is>
      </ns0:c>
      <ns0:c r="C8" s="55">
        <ns0:f>INDEX(Inputs!$B$55:$I$55,C$5)*Inputs!$B$70/3</ns0:f>
        <ns0:v>0.3333333333333333</ns0:v>
      </ns0:c>
      <ns0:c r="D8" s="55">
        <ns0:f>INDEX(Inputs!$B$55:$I$55,D$5)*Inputs!$B$70/3</ns0:f>
        <ns0:v>0.3333333333333333</ns0:v>
      </ns0:c>
      <ns0:c r="E8" s="55">
        <ns0:f>INDEX(Inputs!$B$55:$I$55,E$5)*Inputs!$B$70/3</ns0:f>
        <ns0:v>0.3333333333333333</ns0:v>
      </ns0:c>
      <ns0:c r="F8" s="55">
        <ns0:f>INDEX(Inputs!$B$55:$I$55,F$5)*Inputs!$B$70/3</ns0:f>
        <ns0:v>0.6666666666666666</ns0:v>
      </ns0:c>
      <ns0:c r="G8" s="55">
        <ns0:f>INDEX(Inputs!$B$55:$I$55,G$5)*Inputs!$B$70/3</ns0:f>
        <ns0:v>0.6666666666666666</ns0:v>
      </ns0:c>
      <ns0:c r="H8" s="55">
        <ns0:f>INDEX(Inputs!$B$55:$I$55,H$5)*Inputs!$B$70/3</ns0:f>
        <ns0:v>0.6666666666666666</ns0:v>
      </ns0:c>
      <ns0:c r="I8" s="55">
        <ns0:f>INDEX(Inputs!$B$55:$I$55,I$5)*Inputs!$B$70/3</ns0:f>
        <ns0:v>0.6666666666666666</ns0:v>
      </ns0:c>
      <ns0:c r="J8" s="55">
        <ns0:f>INDEX(Inputs!$B$55:$I$55,J$5)*Inputs!$B$70/3</ns0:f>
        <ns0:v>0.6666666666666666</ns0:v>
      </ns0:c>
      <ns0:c r="K8" s="55">
        <ns0:f>INDEX(Inputs!$B$55:$I$55,K$5)*Inputs!$B$70/3</ns0:f>
        <ns0:v>0.6666666666666666</ns0:v>
      </ns0:c>
      <ns0:c r="L8" s="55">
        <ns0:f>INDEX(Inputs!$B$55:$I$55,L$5)*Inputs!$B$70/3</ns0:f>
        <ns0:v>1.0</ns0:v>
      </ns0:c>
      <ns0:c r="M8" s="55">
        <ns0:f>INDEX(Inputs!$B$55:$I$55,M$5)*Inputs!$B$70/3</ns0:f>
        <ns0:v>1.0</ns0:v>
      </ns0:c>
      <ns0:c r="N8" s="55">
        <ns0:f>INDEX(Inputs!$B$55:$I$55,N$5)*Inputs!$B$70/3</ns0:f>
        <ns0:v>1.0</ns0:v>
      </ns0:c>
      <ns0:c r="O8" s="55">
        <ns0:f>INDEX(Inputs!$B$55:$I$55,O$5)*Inputs!$B$70/3</ns0:f>
        <ns0:v>0.6666666666666666</ns0:v>
      </ns0:c>
      <ns0:c r="P8" s="55">
        <ns0:f>INDEX(Inputs!$B$55:$I$55,P$5)*Inputs!$B$70/3</ns0:f>
        <ns0:v>0.6666666666666666</ns0:v>
      </ns0:c>
      <ns0:c r="Q8" s="55">
        <ns0:f>INDEX(Inputs!$B$55:$I$55,Q$5)*Inputs!$B$70/3</ns0:f>
        <ns0:v>0.6666666666666666</ns0:v>
      </ns0:c>
      <ns0:c r="R8" s="55">
        <ns0:f>INDEX(Inputs!$B$55:$I$55,R$5)*Inputs!$B$70/3</ns0:f>
        <ns0:v>0.6666666666666666</ns0:v>
      </ns0:c>
      <ns0:c r="S8" s="55">
        <ns0:f>INDEX(Inputs!$B$55:$I$55,S$5)*Inputs!$B$70/3</ns0:f>
        <ns0:v>0.6666666666666666</ns0:v>
      </ns0:c>
      <ns0:c r="T8" s="55">
        <ns0:f>INDEX(Inputs!$B$55:$I$55,T$5)*Inputs!$B$70/3</ns0:f>
        <ns0:v>0.6666666666666666</ns0:v>
      </ns0:c>
      <ns0:c r="U8" s="55">
        <ns0:f>INDEX(Inputs!$B$55:$I$55,U$5)*Inputs!$B$70/3</ns0:f>
        <ns0:v>0.6666666666666666</ns0:v>
      </ns0:c>
      <ns0:c r="V8" s="55">
        <ns0:f>INDEX(Inputs!$B$55:$I$55,V$5)*Inputs!$B$70/3</ns0:f>
        <ns0:v>0.6666666666666666</ns0:v>
      </ns0:c>
      <ns0:c r="W8" s="55">
        <ns0:f>INDEX(Inputs!$B$55:$I$55,W$5)*Inputs!$B$70/3</ns0:f>
        <ns0:v>0.6666666666666666</ns0:v>
      </ns0:c>
      <ns0:c r="X8" s="55">
        <ns0:f>INDEX(Inputs!$B$55:$I$55,X$5)*Inputs!$B$70/3</ns0:f>
        <ns0:v>0.6666666666666666</ns0:v>
      </ns0:c>
      <ns0:c r="Y8" s="55">
        <ns0:f>INDEX(Inputs!$B$55:$I$55,Y$5)*Inputs!$B$70/3</ns0:f>
        <ns0:v>0.6666666666666666</ns0:v>
      </ns0:c>
      <ns0:c r="Z8" s="55">
        <ns0:f>INDEX(Inputs!$B$55:$I$55,Z$5)*Inputs!$B$70/3</ns0:f>
        <ns0:v>0.6666666666666666</ns0:v>
      </ns0:c>
    </ns0:row>
    <ns0:row r="9">
      <ns0:c r="A9" s="9" t="inlineStr">
        <ns0:is>
          <ns0:t>Midscale adds</ns0:t>
        </ns0:is>
      </ns0:c>
      <ns0:c r="C9" s="55">
        <ns0:f>INDEX(Inputs!$B$56:$I$56,C$5)*Inputs!$B$70/3</ns0:f>
        <ns0:v>0.0</ns0:v>
      </ns0:c>
      <ns0:c r="D9" s="55">
        <ns0:f>INDEX(Inputs!$B$56:$I$56,D$5)*Inputs!$B$70/3</ns0:f>
        <ns0:v>0.0</ns0:v>
      </ns0:c>
      <ns0:c r="E9" s="55">
        <ns0:f>INDEX(Inputs!$B$56:$I$56,E$5)*Inputs!$B$70/3</ns0:f>
        <ns0:v>0.0</ns0:v>
      </ns0:c>
      <ns0:c r="F9" s="55">
        <ns0:f>INDEX(Inputs!$B$56:$I$56,F$5)*Inputs!$B$70/3</ns0:f>
        <ns0:v>0.0</ns0:v>
      </ns0:c>
      <ns0:c r="G9" s="55">
        <ns0:f>INDEX(Inputs!$B$56:$I$56,G$5)*Inputs!$B$70/3</ns0:f>
        <ns0:v>0.0</ns0:v>
      </ns0:c>
      <ns0:c r="H9" s="55">
        <ns0:f>INDEX(Inputs!$B$56:$I$56,H$5)*Inputs!$B$70/3</ns0:f>
        <ns0:v>0.0</ns0:v>
      </ns0:c>
      <ns0:c r="I9" s="55">
        <ns0:f>INDEX(Inputs!$B$56:$I$56,I$5)*Inputs!$B$70/3</ns0:f>
        <ns0:v>0.0</ns0:v>
      </ns0:c>
      <ns0:c r="J9" s="55">
        <ns0:f>INDEX(Inputs!$B$56:$I$56,J$5)*Inputs!$B$70/3</ns0:f>
        <ns0:v>0.0</ns0:v>
      </ns0:c>
      <ns0:c r="K9" s="55">
        <ns0:f>INDEX(Inputs!$B$56:$I$56,K$5)*Inputs!$B$70/3</ns0:f>
        <ns0:v>0.0</ns0:v>
      </ns0:c>
      <ns0:c r="L9" s="55">
        <ns0:f>INDEX(Inputs!$B$56:$I$56,L$5)*Inputs!$B$70/3</ns0:f>
        <ns0:v>0.0</ns0:v>
      </ns0:c>
      <ns0:c r="M9" s="55">
        <ns0:f>INDEX(Inputs!$B$56:$I$56,M$5)*Inputs!$B$70/3</ns0:f>
        <ns0:v>0.0</ns0:v>
      </ns0:c>
      <ns0:c r="N9" s="55">
        <ns0:f>INDEX(Inputs!$B$56:$I$56,N$5)*Inputs!$B$70/3</ns0:f>
        <ns0:v>0.0</ns0:v>
      </ns0:c>
      <ns0:c r="O9" s="55">
        <ns0:f>INDEX(Inputs!$B$56:$I$56,O$5)*Inputs!$B$70/3</ns0:f>
        <ns0:v>0.3333333333333333</ns0:v>
      </ns0:c>
      <ns0:c r="P9" s="55">
        <ns0:f>INDEX(Inputs!$B$56:$I$56,P$5)*Inputs!$B$70/3</ns0:f>
        <ns0:v>0.3333333333333333</ns0:v>
      </ns0:c>
      <ns0:c r="Q9" s="55">
        <ns0:f>INDEX(Inputs!$B$56:$I$56,Q$5)*Inputs!$B$70/3</ns0:f>
        <ns0:v>0.3333333333333333</ns0:v>
      </ns0:c>
      <ns0:c r="R9" s="55">
        <ns0:f>INDEX(Inputs!$B$56:$I$56,R$5)*Inputs!$B$70/3</ns0:f>
        <ns0:v>0.3333333333333333</ns0:v>
      </ns0:c>
      <ns0:c r="S9" s="55">
        <ns0:f>INDEX(Inputs!$B$56:$I$56,S$5)*Inputs!$B$70/3</ns0:f>
        <ns0:v>0.3333333333333333</ns0:v>
      </ns0:c>
      <ns0:c r="T9" s="55">
        <ns0:f>INDEX(Inputs!$B$56:$I$56,T$5)*Inputs!$B$70/3</ns0:f>
        <ns0:v>0.3333333333333333</ns0:v>
      </ns0:c>
      <ns0:c r="U9" s="55">
        <ns0:f>INDEX(Inputs!$B$56:$I$56,U$5)*Inputs!$B$70/3</ns0:f>
        <ns0:v>0.3333333333333333</ns0:v>
      </ns0:c>
      <ns0:c r="V9" s="55">
        <ns0:f>INDEX(Inputs!$B$56:$I$56,V$5)*Inputs!$B$70/3</ns0:f>
        <ns0:v>0.3333333333333333</ns0:v>
      </ns0:c>
      <ns0:c r="W9" s="55">
        <ns0:f>INDEX(Inputs!$B$56:$I$56,W$5)*Inputs!$B$70/3</ns0:f>
        <ns0:v>0.3333333333333333</ns0:v>
      </ns0:c>
      <ns0:c r="X9" s="55">
        <ns0:f>INDEX(Inputs!$B$56:$I$56,X$5)*Inputs!$B$70/3</ns0:f>
        <ns0:v>0.3333333333333333</ns0:v>
      </ns0:c>
      <ns0:c r="Y9" s="55">
        <ns0:f>INDEX(Inputs!$B$56:$I$56,Y$5)*Inputs!$B$70/3</ns0:f>
        <ns0:v>0.3333333333333333</ns0:v>
      </ns0:c>
      <ns0:c r="Z9" s="55">
        <ns0:f>INDEX(Inputs!$B$56:$I$56,Z$5)*Inputs!$B$70/3</ns0:f>
        <ns0:v>0.3333333333333333</ns0:v>
      </ns0:c>
    </ns0:row>
    <ns0:row r="10">
      <ns0:c r="A10" s="9" t="inlineStr">
        <ns0:is>
          <ns0:t>Resort adds</ns0:t>
        </ns0:is>
      </ns0:c>
      <ns0:c r="C10" s="55">
        <ns0:f>INDEX(Inputs!$B$57:$I$57,C$5)*Inputs!$B$70/3</ns0:f>
        <ns0:v>0.0</ns0:v>
      </ns0:c>
      <ns0:c r="D10" s="55">
        <ns0:f>INDEX(Inputs!$B$57:$I$57,D$5)*Inputs!$B$70/3</ns0:f>
        <ns0:v>0.0</ns0:v>
      </ns0:c>
      <ns0:c r="E10" s="55">
        <ns0:f>INDEX(Inputs!$B$57:$I$57,E$5)*Inputs!$B$70/3</ns0:f>
        <ns0:v>0.0</ns0:v>
      </ns0:c>
      <ns0:c r="F10" s="55">
        <ns0:f>INDEX(Inputs!$B$57:$I$57,F$5)*Inputs!$B$70/3</ns0:f>
        <ns0:v>0.0</ns0:v>
      </ns0:c>
      <ns0:c r="G10" s="55">
        <ns0:f>INDEX(Inputs!$B$57:$I$57,G$5)*Inputs!$B$70/3</ns0:f>
        <ns0:v>0.0</ns0:v>
      </ns0:c>
      <ns0:c r="H10" s="55">
        <ns0:f>INDEX(Inputs!$B$57:$I$57,H$5)*Inputs!$B$70/3</ns0:f>
        <ns0:v>0.0</ns0:v>
      </ns0:c>
      <ns0:c r="I10" s="55">
        <ns0:f>INDEX(Inputs!$B$57:$I$57,I$5)*Inputs!$B$70/3</ns0:f>
        <ns0:v>0.0</ns0:v>
      </ns0:c>
      <ns0:c r="J10" s="55">
        <ns0:f>INDEX(Inputs!$B$57:$I$57,J$5)*Inputs!$B$70/3</ns0:f>
        <ns0:v>0.0</ns0:v>
      </ns0:c>
      <ns0:c r="K10" s="55">
        <ns0:f>INDEX(Inputs!$B$57:$I$57,K$5)*Inputs!$B$70/3</ns0:f>
        <ns0:v>0.0</ns0:v>
      </ns0:c>
      <ns0:c r="L10" s="55">
        <ns0:f>INDEX(Inputs!$B$57:$I$57,L$5)*Inputs!$B$70/3</ns0:f>
        <ns0:v>0.0</ns0:v>
      </ns0:c>
      <ns0:c r="M10" s="55">
        <ns0:f>INDEX(Inputs!$B$57:$I$57,M$5)*Inputs!$B$70/3</ns0:f>
        <ns0:v>0.0</ns0:v>
      </ns0:c>
      <ns0:c r="N10" s="55">
        <ns0:f>INDEX(Inputs!$B$57:$I$57,N$5)*Inputs!$B$70/3</ns0:f>
        <ns0:v>0.0</ns0:v>
      </ns0:c>
      <ns0:c r="O10" s="55">
        <ns0:f>INDEX(Inputs!$B$57:$I$57,O$5)*Inputs!$B$70/3</ns0:f>
        <ns0:v>0.0</ns0:v>
      </ns0:c>
      <ns0:c r="P10" s="55">
        <ns0:f>INDEX(Inputs!$B$57:$I$57,P$5)*Inputs!$B$70/3</ns0:f>
        <ns0:v>0.0</ns0:v>
      </ns0:c>
      <ns0:c r="Q10" s="55">
        <ns0:f>INDEX(Inputs!$B$57:$I$57,Q$5)*Inputs!$B$70/3</ns0:f>
        <ns0:v>0.0</ns0:v>
      </ns0:c>
      <ns0:c r="R10" s="55">
        <ns0:f>INDEX(Inputs!$B$57:$I$57,R$5)*Inputs!$B$70/3</ns0:f>
        <ns0:v>0.0</ns0:v>
      </ns0:c>
      <ns0:c r="S10" s="55">
        <ns0:f>INDEX(Inputs!$B$57:$I$57,S$5)*Inputs!$B$70/3</ns0:f>
        <ns0:v>0.0</ns0:v>
      </ns0:c>
      <ns0:c r="T10" s="55">
        <ns0:f>INDEX(Inputs!$B$57:$I$57,T$5)*Inputs!$B$70/3</ns0:f>
        <ns0:v>0.0</ns0:v>
      </ns0:c>
      <ns0:c r="U10" s="55">
        <ns0:f>INDEX(Inputs!$B$57:$I$57,U$5)*Inputs!$B$70/3</ns0:f>
        <ns0:v>0.0</ns0:v>
      </ns0:c>
      <ns0:c r="V10" s="55">
        <ns0:f>INDEX(Inputs!$B$57:$I$57,V$5)*Inputs!$B$70/3</ns0:f>
        <ns0:v>0.0</ns0:v>
      </ns0:c>
      <ns0:c r="W10" s="55">
        <ns0:f>INDEX(Inputs!$B$57:$I$57,W$5)*Inputs!$B$70/3</ns0:f>
        <ns0:v>0.0</ns0:v>
      </ns0:c>
      <ns0:c r="X10" s="55">
        <ns0:f>INDEX(Inputs!$B$57:$I$57,X$5)*Inputs!$B$70/3</ns0:f>
        <ns0:v>0.3333333333333333</ns0:v>
      </ns0:c>
      <ns0:c r="Y10" s="55">
        <ns0:f>INDEX(Inputs!$B$57:$I$57,Y$5)*Inputs!$B$70/3</ns0:f>
        <ns0:v>0.3333333333333333</ns0:v>
      </ns0:c>
      <ns0:c r="Z10" s="55">
        <ns0:f>INDEX(Inputs!$B$57:$I$57,Z$5)*Inputs!$B$70/3</ns0:f>
        <ns0:v>0.3333333333333333</ns0:v>
      </ns0:c>
    </ns0:row>
    <ns0:row r="11">
      <ns0:c r="A11" s="9" t="inlineStr">
        <ns0:is>
          <ns0:t>Group deals added</ns0:t>
        </ns0:is>
      </ns0:c>
      <ns0:c r="C11" s="55">
        <ns0:f>IF(OR($C$5=Inputs!$B$71,$C$5=Inputs!$B$72),1,0)/3</ns0:f>
        <ns0:v>0.0</ns0:v>
      </ns0:c>
      <ns0:c r="D11" s="55">
        <ns0:f>IF(OR($D$5=Inputs!$B$71,$D$5=Inputs!$B$72),1,0)/3</ns0:f>
        <ns0:v>0.0</ns0:v>
      </ns0:c>
      <ns0:c r="E11" s="55">
        <ns0:f>IF(OR($E$5=Inputs!$B$71,$E$5=Inputs!$B$72),1,0)/3</ns0:f>
        <ns0:v>0.0</ns0:v>
      </ns0:c>
      <ns0:c r="F11" s="55">
        <ns0:f>IF(OR($F$5=Inputs!$B$71,$F$5=Inputs!$B$72),1,0)/3</ns0:f>
        <ns0:v>0.0</ns0:v>
      </ns0:c>
      <ns0:c r="G11" s="55">
        <ns0:f>IF(OR($G$5=Inputs!$B$71,$G$5=Inputs!$B$72),1,0)/3</ns0:f>
        <ns0:v>0.0</ns0:v>
      </ns0:c>
      <ns0:c r="H11" s="55">
        <ns0:f>IF(OR($H$5=Inputs!$B$71,$H$5=Inputs!$B$72),1,0)/3</ns0:f>
        <ns0:v>0.0</ns0:v>
      </ns0:c>
      <ns0:c r="I11" s="55">
        <ns0:f>IF(OR($I$5=Inputs!$B$71,$I$5=Inputs!$B$72),1,0)/3</ns0:f>
        <ns0:v>0.0</ns0:v>
      </ns0:c>
      <ns0:c r="J11" s="55">
        <ns0:f>IF(OR($J$5=Inputs!$B$71,$J$5=Inputs!$B$72),1,0)/3</ns0:f>
        <ns0:v>0.0</ns0:v>
      </ns0:c>
      <ns0:c r="K11" s="55">
        <ns0:f>IF(OR($K$5=Inputs!$B$71,$K$5=Inputs!$B$72),1,0)/3</ns0:f>
        <ns0:v>0.0</ns0:v>
      </ns0:c>
      <ns0:c r="L11" s="55">
        <ns0:f>IF(OR($L$5=Inputs!$B$71,$L$5=Inputs!$B$72),1,0)/3</ns0:f>
        <ns0:v>0.0</ns0:v>
      </ns0:c>
      <ns0:c r="M11" s="55">
        <ns0:f>IF(OR($M$5=Inputs!$B$71,$M$5=Inputs!$B$72),1,0)/3</ns0:f>
        <ns0:v>0.0</ns0:v>
      </ns0:c>
      <ns0:c r="N11" s="55">
        <ns0:f>IF(OR($N$5=Inputs!$B$71,$N$5=Inputs!$B$72),1,0)/3</ns0:f>
        <ns0:v>0.0</ns0:v>
      </ns0:c>
      <ns0:c r="O11" s="55">
        <ns0:f>IF(OR($O$5=Inputs!$B$71,$O$5=Inputs!$B$72),1,0)/3</ns0:f>
        <ns0:v>0.0</ns0:v>
      </ns0:c>
      <ns0:c r="P11" s="55">
        <ns0:f>IF(OR($P$5=Inputs!$B$71,$P$5=Inputs!$B$72),1,0)/3</ns0:f>
        <ns0:v>0.0</ns0:v>
      </ns0:c>
      <ns0:c r="Q11" s="55">
        <ns0:f>IF(OR($Q$5=Inputs!$B$71,$Q$5=Inputs!$B$72),1,0)/3</ns0:f>
        <ns0:v>0.0</ns0:v>
      </ns0:c>
      <ns0:c r="R11" s="55">
        <ns0:f>IF(OR($R$5=Inputs!$B$71,$R$5=Inputs!$B$72),1,0)/3</ns0:f>
        <ns0:v>0.3333333333333333</ns0:v>
      </ns0:c>
      <ns0:c r="S11" s="55">
        <ns0:f>IF(OR($S$5=Inputs!$B$71,$S$5=Inputs!$B$72),1,0)/3</ns0:f>
        <ns0:v>0.3333333333333333</ns0:v>
      </ns0:c>
      <ns0:c r="T11" s="55">
        <ns0:f>IF(OR($T$5=Inputs!$B$71,$T$5=Inputs!$B$72),1,0)/3</ns0:f>
        <ns0:v>0.3333333333333333</ns0:v>
      </ns0:c>
      <ns0:c r="U11" s="55">
        <ns0:f>IF(OR($U$5=Inputs!$B$71,$U$5=Inputs!$B$72),1,0)/3</ns0:f>
        <ns0:v>0.0</ns0:v>
      </ns0:c>
      <ns0:c r="V11" s="55">
        <ns0:f>IF(OR($V$5=Inputs!$B$71,$V$5=Inputs!$B$72),1,0)/3</ns0:f>
        <ns0:v>0.0</ns0:v>
      </ns0:c>
      <ns0:c r="W11" s="55">
        <ns0:f>IF(OR($W$5=Inputs!$B$71,$W$5=Inputs!$B$72),1,0)/3</ns0:f>
        <ns0:v>0.0</ns0:v>
      </ns0:c>
      <ns0:c r="X11" s="55">
        <ns0:f>IF(OR($X$5=Inputs!$B$71,$X$5=Inputs!$B$72),1,0)/3</ns0:f>
        <ns0:v>0.0</ns0:v>
      </ns0:c>
      <ns0:c r="Y11" s="55">
        <ns0:f>IF(OR($Y$5=Inputs!$B$71,$Y$5=Inputs!$B$72),1,0)/3</ns0:f>
        <ns0:v>0.0</ns0:v>
      </ns0:c>
      <ns0:c r="Z11" s="55">
        <ns0:f>IF(OR($Z$5=Inputs!$B$71,$Z$5=Inputs!$B$72),1,0)/3</ns0:f>
        <ns0:v>0.0</ns0:v>
      </ns0:c>
    </ns0:row>
    <ns0:row r="12" ht="20" customHeight="1">
      <ns0:c r="A12" s="8" t="inlineStr">
        <ns0:is>
          <ns0:t>Installed base</ns0:t>
        </ns0:is>
      </ns0:c>
    </ns0:row>
    <ns0:row r="13">
      <ns0:c r="A13" s="9" t="inlineStr">
        <ns0:is>
          <ns0:t>Boutique base</ns0:t>
        </ns0:is>
      </ns0:c>
      <ns0:c r="C13" s="38">
        <ns0:f>C7</ns0:f>
        <ns0:v>0.0</ns0:v>
      </ns0:c>
      <ns0:c r="D13" s="38">
        <ns0:f>C13*(1-Inputs!$B$10)+D7</ns0:f>
        <ns0:v>0.0</ns0:v>
      </ns0:c>
      <ns0:c r="E13" s="38">
        <ns0:f>D13*(1-Inputs!$B$10)+E7</ns0:f>
        <ns0:v>0.0</ns0:v>
      </ns0:c>
      <ns0:c r="F13" s="38">
        <ns0:f>E13*(1-Inputs!$B$10)+F7</ns0:f>
        <ns0:v>0.3333333333333333</ns0:v>
      </ns0:c>
      <ns0:c r="G13" s="38">
        <ns0:f>F13*(1-Inputs!$B$10)+G7</ns0:f>
        <ns0:v>0.6583333333333332</ns0:v>
      </ns0:c>
      <ns0:c r="H13" s="38">
        <ns0:f>G13*(1-Inputs!$B$10)+H7</ns0:f>
        <ns0:v>0.9752083333333332</ns0:v>
      </ns0:c>
      <ns0:c r="I13" s="38">
        <ns0:f>H13*(1-Inputs!$B$10)+I7</ns0:f>
        <ns0:v>1.2841614583333332</ns0:v>
      </ns0:c>
      <ns0:c r="J13" s="38">
        <ns0:f>I13*(1-Inputs!$B$10)+J7</ns0:f>
        <ns0:v>1.585390755208333</ns0:v>
      </ns0:c>
      <ns0:c r="K13" s="38">
        <ns0:f>J13*(1-Inputs!$B$10)+K7</ns0:f>
        <ns0:v>1.879089319661458</ns0:v>
      </ns0:c>
      <ns0:c r="L13" s="38">
        <ns0:f>K13*(1-Inputs!$B$10)+L7</ns0:f>
        <ns0:v>2.165445420003255</ns0:v>
      </ns0:c>
      <ns0:c r="M13" s="38">
        <ns0:f>L13*(1-Inputs!$B$10)+M7</ns0:f>
        <ns0:v>2.444642617836507</ns0:v>
      </ns0:c>
      <ns0:c r="N13" s="38">
        <ns0:f>M13*(1-Inputs!$B$10)+N7</ns0:f>
        <ns0:v>2.7168598857239274</ns0:v>
      </ns0:c>
      <ns0:c r="O13" s="38">
        <ns0:f>N13*(1-Inputs!$B$10)+O7</ns0:f>
        <ns0:v>2.9822717219141626</ns0:v>
      </ns0:c>
      <ns0:c r="P13" s="38">
        <ns0:f>O13*(1-Inputs!$B$10)+P7</ns0:f>
        <ns0:v>3.2410482621996417</ns0:v>
      </ns0:c>
      <ns0:c r="Q13" s="38">
        <ns0:f>P13*(1-Inputs!$B$10)+Q7</ns0:f>
        <ns0:v>3.4933553889779843</ns0:v>
      </ns0:c>
      <ns0:c r="R13" s="38">
        <ns0:f>Q13*(1-Inputs!$B$10)+R7</ns0:f>
        <ns0:v>3.739354837586868</ns0:v>
      </ns0:c>
      <ns0:c r="S13" s="38">
        <ns0:f>R13*(1-Inputs!$B$10)+S7</ns0:f>
        <ns0:v>3.9792042999805295</ns0:v>
      </ns0:c>
      <ns0:c r="T13" s="38">
        <ns0:f>S13*(1-Inputs!$B$10)+T7</ns0:f>
        <ns0:v>4.2130575258143494</ns0:v>
      </ns0:c>
      <ns0:c r="U13" s="38">
        <ns0:f>T13*(1-Inputs!$B$10)+U7</ns0:f>
        <ns0:v>4.441064421002324</ns0:v>
      </ns0:c>
      <ns0:c r="V13" s="38">
        <ns0:f>U13*(1-Inputs!$B$10)+V7</ns0:f>
        <ns0:v>4.663371143810599</ns0:v>
      </ns0:c>
      <ns0:c r="W13" s="38">
        <ns0:f>V13*(1-Inputs!$B$10)+W7</ns0:f>
        <ns0:v>4.880120198548667</ns0:v>
      </ns0:c>
      <ns0:c r="X13" s="38">
        <ns0:f>W13*(1-Inputs!$B$10)+X7</ns0:f>
        <ns0:v>5.091450526918283</ns0:v>
      </ns0:c>
      <ns0:c r="Y13" s="38">
        <ns0:f>X13*(1-Inputs!$B$10)+Y7</ns0:f>
        <ns0:v>5.297497597078659</ns0:v>
      </ns0:c>
      <ns0:c r="Z13" s="38">
        <ns0:f>Y13*(1-Inputs!$B$10)+Z7</ns0:f>
        <ns0:v>5.498393490485026</ns0:v>
      </ns0:c>
    </ns0:row>
    <ns0:row r="14">
      <ns0:c r="A14" s="9" t="inlineStr">
        <ns0:is>
          <ns0:t>Independent base</ns0:t>
        </ns0:is>
      </ns0:c>
      <ns0:c r="C14" s="38">
        <ns0:f>C8</ns0:f>
        <ns0:v>0.3333333333333333</ns0:v>
      </ns0:c>
      <ns0:c r="D14" s="38">
        <ns0:f>C14*(1-Inputs!$B$10)+D8</ns0:f>
        <ns0:v>0.6583333333333332</ns0:v>
      </ns0:c>
      <ns0:c r="E14" s="38">
        <ns0:f>D14*(1-Inputs!$B$10)+E8</ns0:f>
        <ns0:v>0.9752083333333332</ns0:v>
      </ns0:c>
      <ns0:c r="F14" s="38">
        <ns0:f>E14*(1-Inputs!$B$10)+F8</ns0:f>
        <ns0:v>1.6174947916666667</ns0:v>
      </ns0:c>
      <ns0:c r="G14" s="38">
        <ns0:f>F14*(1-Inputs!$B$10)+G8</ns0:f>
        <ns0:v>2.2437240885416667</ns0:v>
      </ns0:c>
      <ns0:c r="H14" s="38">
        <ns0:f>G14*(1-Inputs!$B$10)+H8</ns0:f>
        <ns0:v>2.8542976529947914</ns0:v>
      </ns0:c>
      <ns0:c r="I14" s="38">
        <ns0:f>H14*(1-Inputs!$B$10)+I8</ns0:f>
        <ns0:v>3.449606878336588</ns0:v>
      </ns0:c>
      <ns0:c r="J14" s="38">
        <ns0:f>I14*(1-Inputs!$B$10)+J8</ns0:f>
        <ns0:v>4.03003337304484</ns0:v>
      </ns0:c>
      <ns0:c r="K14" s="38">
        <ns0:f>J14*(1-Inputs!$B$10)+K8</ns0:f>
        <ns0:v>4.595949205385385</ns0:v>
      </ns0:c>
      <ns0:c r="L14" s="38">
        <ns0:f>K14*(1-Inputs!$B$10)+L8</ns0:f>
        <ns0:v>5.4810504752507505</ns0:v>
      </ns0:c>
      <ns0:c r="M14" s="38">
        <ns0:f>L14*(1-Inputs!$B$10)+M8</ns0:f>
        <ns0:v>6.344024213369481</ns0:v>
      </ns0:c>
      <ns0:c r="N14" s="38">
        <ns0:f>M14*(1-Inputs!$B$10)+N8</ns0:f>
        <ns0:v>7.1854236080352445</ns0:v>
      </ns0:c>
      <ns0:c r="O14" s="38">
        <ns0:f>N14*(1-Inputs!$B$10)+O8</ns0:f>
        <ns0:v>7.67245468450103</ns0:v>
      </ns0:c>
      <ns0:c r="P14" s="38">
        <ns0:f>O14*(1-Inputs!$B$10)+P8</ns0:f>
        <ns0:v>8.147309984055171</ns0:v>
      </ns0:c>
      <ns0:c r="Q14" s="38">
        <ns0:f>P14*(1-Inputs!$B$10)+Q8</ns0:f>
        <ns0:v>8.610293901120459</ns0:v>
      </ns0:c>
      <ns0:c r="R14" s="38">
        <ns0:f>Q14*(1-Inputs!$B$10)+R8</ns0:f>
        <ns0:v>9.061703220259114</ns0:v>
      </ns0:c>
      <ns0:c r="S14" s="38">
        <ns0:f>R14*(1-Inputs!$B$10)+S8</ns0:f>
        <ns0:v>9.501827306419301</ns0:v>
      </ns0:c>
      <ns0:c r="T14" s="38">
        <ns0:f>S14*(1-Inputs!$B$10)+T8</ns0:f>
        <ns0:v>9.930948290425484</ns0:v>
      </ns0:c>
      <ns0:c r="U14" s="38">
        <ns0:f>T14*(1-Inputs!$B$10)+U8</ns0:f>
        <ns0:v>10.349341249831513</ns0:v>
      </ns0:c>
      <ns0:c r="V14" s="38">
        <ns0:f>U14*(1-Inputs!$B$10)+V8</ns0:f>
        <ns0:v>10.75727438525239</ns0:v>
      </ns0:c>
      <ns0:c r="W14" s="38">
        <ns0:f>V14*(1-Inputs!$B$10)+W8</ns0:f>
        <ns0:v>11.155009192287746</ns0:v>
      </ns0:c>
      <ns0:c r="X14" s="38">
        <ns0:f>W14*(1-Inputs!$B$10)+X8</ns0:f>
        <ns0:v>11.54280062914722</ns0:v>
      </ns0:c>
      <ns0:c r="Y14" s="38">
        <ns0:f>X14*(1-Inputs!$B$10)+Y8</ns0:f>
        <ns0:v>11.920897280085205</ns0:v>
      </ns0:c>
      <ns0:c r="Z14" s="38">
        <ns0:f>Y14*(1-Inputs!$B$10)+Z8</ns0:f>
        <ns0:v>12.289541514749741</ns0:v>
      </ns0:c>
    </ns0:row>
    <ns0:row r="15">
      <ns0:c r="A15" s="9" t="inlineStr">
        <ns0:is>
          <ns0:t>Midscale base</ns0:t>
        </ns0:is>
      </ns0:c>
      <ns0:c r="C15" s="38">
        <ns0:f>C9</ns0:f>
        <ns0:v>0.0</ns0:v>
      </ns0:c>
      <ns0:c r="D15" s="38">
        <ns0:f>C15*(1-Inputs!$B$10)+D9</ns0:f>
        <ns0:v>0.0</ns0:v>
      </ns0:c>
      <ns0:c r="E15" s="38">
        <ns0:f>D15*(1-Inputs!$B$10)+E9</ns0:f>
        <ns0:v>0.0</ns0:v>
      </ns0:c>
      <ns0:c r="F15" s="38">
        <ns0:f>E15*(1-Inputs!$B$10)+F9</ns0:f>
        <ns0:v>0.0</ns0:v>
      </ns0:c>
      <ns0:c r="G15" s="38">
        <ns0:f>F15*(1-Inputs!$B$10)+G9</ns0:f>
        <ns0:v>0.0</ns0:v>
      </ns0:c>
      <ns0:c r="H15" s="38">
        <ns0:f>G15*(1-Inputs!$B$10)+H9</ns0:f>
        <ns0:v>0.0</ns0:v>
      </ns0:c>
      <ns0:c r="I15" s="38">
        <ns0:f>H15*(1-Inputs!$B$10)+I9</ns0:f>
        <ns0:v>0.0</ns0:v>
      </ns0:c>
      <ns0:c r="J15" s="38">
        <ns0:f>I15*(1-Inputs!$B$10)+J9</ns0:f>
        <ns0:v>0.0</ns0:v>
      </ns0:c>
      <ns0:c r="K15" s="38">
        <ns0:f>J15*(1-Inputs!$B$10)+K9</ns0:f>
        <ns0:v>0.0</ns0:v>
      </ns0:c>
      <ns0:c r="L15" s="38">
        <ns0:f>K15*(1-Inputs!$B$10)+L9</ns0:f>
        <ns0:v>0.0</ns0:v>
      </ns0:c>
      <ns0:c r="M15" s="38">
        <ns0:f>L15*(1-Inputs!$B$10)+M9</ns0:f>
        <ns0:v>0.0</ns0:v>
      </ns0:c>
      <ns0:c r="N15" s="38">
        <ns0:f>M15*(1-Inputs!$B$10)+N9</ns0:f>
        <ns0:v>0.0</ns0:v>
      </ns0:c>
      <ns0:c r="O15" s="38">
        <ns0:f>N15*(1-Inputs!$B$10)+O9</ns0:f>
        <ns0:v>0.3333333333333333</ns0:v>
      </ns0:c>
      <ns0:c r="P15" s="38">
        <ns0:f>O15*(1-Inputs!$B$10)+P9</ns0:f>
        <ns0:v>0.6583333333333332</ns0:v>
      </ns0:c>
      <ns0:c r="Q15" s="38">
        <ns0:f>P15*(1-Inputs!$B$10)+Q9</ns0:f>
        <ns0:v>0.9752083333333332</ns0:v>
      </ns0:c>
      <ns0:c r="R15" s="38">
        <ns0:f>Q15*(1-Inputs!$B$10)+R9</ns0:f>
        <ns0:v>1.2841614583333332</ns0:v>
      </ns0:c>
      <ns0:c r="S15" s="38">
        <ns0:f>R15*(1-Inputs!$B$10)+S9</ns0:f>
        <ns0:v>1.585390755208333</ns0:v>
      </ns0:c>
      <ns0:c r="T15" s="38">
        <ns0:f>S15*(1-Inputs!$B$10)+T9</ns0:f>
        <ns0:v>1.879089319661458</ns0:v>
      </ns0:c>
      <ns0:c r="U15" s="38">
        <ns0:f>T15*(1-Inputs!$B$10)+U9</ns0:f>
        <ns0:v>2.165445420003255</ns0:v>
      </ns0:c>
      <ns0:c r="V15" s="38">
        <ns0:f>U15*(1-Inputs!$B$10)+V9</ns0:f>
        <ns0:v>2.444642617836507</ns0:v>
      </ns0:c>
      <ns0:c r="W15" s="38">
        <ns0:f>V15*(1-Inputs!$B$10)+W9</ns0:f>
        <ns0:v>2.7168598857239274</ns0:v>
      </ns0:c>
      <ns0:c r="X15" s="38">
        <ns0:f>W15*(1-Inputs!$B$10)+X9</ns0:f>
        <ns0:v>2.9822717219141626</ns0:v>
      </ns0:c>
      <ns0:c r="Y15" s="38">
        <ns0:f>X15*(1-Inputs!$B$10)+Y9</ns0:f>
        <ns0:v>3.2410482621996417</ns0:v>
      </ns0:c>
      <ns0:c r="Z15" s="38">
        <ns0:f>Y15*(1-Inputs!$B$10)+Z9</ns0:f>
        <ns0:v>3.4933553889779843</ns0:v>
      </ns0:c>
    </ns0:row>
    <ns0:row r="16">
      <ns0:c r="A16" s="9" t="inlineStr">
        <ns0:is>
          <ns0:t>Resort base</ns0:t>
        </ns0:is>
      </ns0:c>
      <ns0:c r="C16" s="38">
        <ns0:f>C10</ns0:f>
        <ns0:v>0.0</ns0:v>
      </ns0:c>
      <ns0:c r="D16" s="38">
        <ns0:f>C16*(1-Inputs!$B$10)+D10</ns0:f>
        <ns0:v>0.0</ns0:v>
      </ns0:c>
      <ns0:c r="E16" s="38">
        <ns0:f>D16*(1-Inputs!$B$10)+E10</ns0:f>
        <ns0:v>0.0</ns0:v>
      </ns0:c>
      <ns0:c r="F16" s="38">
        <ns0:f>E16*(1-Inputs!$B$10)+F10</ns0:f>
        <ns0:v>0.0</ns0:v>
      </ns0:c>
      <ns0:c r="G16" s="38">
        <ns0:f>F16*(1-Inputs!$B$10)+G10</ns0:f>
        <ns0:v>0.0</ns0:v>
      </ns0:c>
      <ns0:c r="H16" s="38">
        <ns0:f>G16*(1-Inputs!$B$10)+H10</ns0:f>
        <ns0:v>0.0</ns0:v>
      </ns0:c>
      <ns0:c r="I16" s="38">
        <ns0:f>H16*(1-Inputs!$B$10)+I10</ns0:f>
        <ns0:v>0.0</ns0:v>
      </ns0:c>
      <ns0:c r="J16" s="38">
        <ns0:f>I16*(1-Inputs!$B$10)+J10</ns0:f>
        <ns0:v>0.0</ns0:v>
      </ns0:c>
      <ns0:c r="K16" s="38">
        <ns0:f>J16*(1-Inputs!$B$10)+K10</ns0:f>
        <ns0:v>0.0</ns0:v>
      </ns0:c>
      <ns0:c r="L16" s="38">
        <ns0:f>K16*(1-Inputs!$B$10)+L10</ns0:f>
        <ns0:v>0.0</ns0:v>
      </ns0:c>
      <ns0:c r="M16" s="38">
        <ns0:f>L16*(1-Inputs!$B$10)+M10</ns0:f>
        <ns0:v>0.0</ns0:v>
      </ns0:c>
      <ns0:c r="N16" s="38">
        <ns0:f>M16*(1-Inputs!$B$10)+N10</ns0:f>
        <ns0:v>0.0</ns0:v>
      </ns0:c>
      <ns0:c r="O16" s="38">
        <ns0:f>N16*(1-Inputs!$B$10)+O10</ns0:f>
        <ns0:v>0.0</ns0:v>
      </ns0:c>
      <ns0:c r="P16" s="38">
        <ns0:f>O16*(1-Inputs!$B$10)+P10</ns0:f>
        <ns0:v>0.0</ns0:v>
      </ns0:c>
      <ns0:c r="Q16" s="38">
        <ns0:f>P16*(1-Inputs!$B$10)+Q10</ns0:f>
        <ns0:v>0.0</ns0:v>
      </ns0:c>
      <ns0:c r="R16" s="38">
        <ns0:f>Q16*(1-Inputs!$B$10)+R10</ns0:f>
        <ns0:v>0.0</ns0:v>
      </ns0:c>
      <ns0:c r="S16" s="38">
        <ns0:f>R16*(1-Inputs!$B$10)+S10</ns0:f>
        <ns0:v>0.0</ns0:v>
      </ns0:c>
      <ns0:c r="T16" s="38">
        <ns0:f>S16*(1-Inputs!$B$10)+T10</ns0:f>
        <ns0:v>0.0</ns0:v>
      </ns0:c>
      <ns0:c r="U16" s="38">
        <ns0:f>T16*(1-Inputs!$B$10)+U10</ns0:f>
        <ns0:v>0.0</ns0:v>
      </ns0:c>
      <ns0:c r="V16" s="38">
        <ns0:f>U16*(1-Inputs!$B$10)+V10</ns0:f>
        <ns0:v>0.0</ns0:v>
      </ns0:c>
      <ns0:c r="W16" s="38">
        <ns0:f>V16*(1-Inputs!$B$10)+W10</ns0:f>
        <ns0:v>0.0</ns0:v>
      </ns0:c>
      <ns0:c r="X16" s="38">
        <ns0:f>W16*(1-Inputs!$B$10)+X10</ns0:f>
        <ns0:v>0.3333333333333333</ns0:v>
      </ns0:c>
      <ns0:c r="Y16" s="38">
        <ns0:f>X16*(1-Inputs!$B$10)+Y10</ns0:f>
        <ns0:v>0.6583333333333332</ns0:v>
      </ns0:c>
      <ns0:c r="Z16" s="38">
        <ns0:f>Y16*(1-Inputs!$B$10)+Z10</ns0:f>
        <ns0:v>0.9752083333333332</ns0:v>
      </ns0:c>
    </ns0:row>
    <ns0:row r="17">
      <ns0:c r="A17" s="9" t="inlineStr">
        <ns0:is>
          <ns0:t>Group base</ns0:t>
        </ns0:is>
      </ns0:c>
      <ns0:c r="C17" s="55">
        <ns0:f>C11</ns0:f>
        <ns0:v>0.0</ns0:v>
      </ns0:c>
      <ns0:c r="D17" s="55">
        <ns0:f>C17*(1-Inputs!$B$10)+D11</ns0:f>
        <ns0:v>0.0</ns0:v>
      </ns0:c>
      <ns0:c r="E17" s="55">
        <ns0:f>D17*(1-Inputs!$B$10)+E11</ns0:f>
        <ns0:v>0.0</ns0:v>
      </ns0:c>
      <ns0:c r="F17" s="55">
        <ns0:f>E17*(1-Inputs!$B$10)+F11</ns0:f>
        <ns0:v>0.0</ns0:v>
      </ns0:c>
      <ns0:c r="G17" s="55">
        <ns0:f>F17*(1-Inputs!$B$10)+G11</ns0:f>
        <ns0:v>0.0</ns0:v>
      </ns0:c>
      <ns0:c r="H17" s="55">
        <ns0:f>G17*(1-Inputs!$B$10)+H11</ns0:f>
        <ns0:v>0.0</ns0:v>
      </ns0:c>
      <ns0:c r="I17" s="55">
        <ns0:f>H17*(1-Inputs!$B$10)+I11</ns0:f>
        <ns0:v>0.0</ns0:v>
      </ns0:c>
      <ns0:c r="J17" s="55">
        <ns0:f>I17*(1-Inputs!$B$10)+J11</ns0:f>
        <ns0:v>0.0</ns0:v>
      </ns0:c>
      <ns0:c r="K17" s="55">
        <ns0:f>J17*(1-Inputs!$B$10)+K11</ns0:f>
        <ns0:v>0.0</ns0:v>
      </ns0:c>
      <ns0:c r="L17" s="55">
        <ns0:f>K17*(1-Inputs!$B$10)+L11</ns0:f>
        <ns0:v>0.0</ns0:v>
      </ns0:c>
      <ns0:c r="M17" s="55">
        <ns0:f>L17*(1-Inputs!$B$10)+M11</ns0:f>
        <ns0:v>0.0</ns0:v>
      </ns0:c>
      <ns0:c r="N17" s="55">
        <ns0:f>M17*(1-Inputs!$B$10)+N11</ns0:f>
        <ns0:v>0.0</ns0:v>
      </ns0:c>
      <ns0:c r="O17" s="55">
        <ns0:f>N17*(1-Inputs!$B$10)+O11</ns0:f>
        <ns0:v>0.0</ns0:v>
      </ns0:c>
      <ns0:c r="P17" s="55">
        <ns0:f>O17*(1-Inputs!$B$10)+P11</ns0:f>
        <ns0:v>0.0</ns0:v>
      </ns0:c>
      <ns0:c r="Q17" s="55">
        <ns0:f>P17*(1-Inputs!$B$10)+Q11</ns0:f>
        <ns0:v>0.0</ns0:v>
      </ns0:c>
      <ns0:c r="R17" s="55">
        <ns0:f>Q17*(1-Inputs!$B$10)+R11</ns0:f>
        <ns0:v>0.3333333333333333</ns0:v>
      </ns0:c>
      <ns0:c r="S17" s="55">
        <ns0:f>R17*(1-Inputs!$B$10)+S11</ns0:f>
        <ns0:v>0.6583333333333332</ns0:v>
      </ns0:c>
      <ns0:c r="T17" s="55">
        <ns0:f>S17*(1-Inputs!$B$10)+T11</ns0:f>
        <ns0:v>0.9752083333333332</ns0:v>
      </ns0:c>
      <ns0:c r="U17" s="55">
        <ns0:f>T17*(1-Inputs!$B$10)+U11</ns0:f>
        <ns0:v>0.9508281249999999</ns0:v>
      </ns0:c>
      <ns0:c r="V17" s="55">
        <ns0:f>U17*(1-Inputs!$B$10)+V11</ns0:f>
        <ns0:v>0.9270574218749998</ns0:v>
      </ns0:c>
      <ns0:c r="W17" s="55">
        <ns0:f>V17*(1-Inputs!$B$10)+W11</ns0:f>
        <ns0:v>0.9038809863281249</ns0:v>
      </ns0:c>
      <ns0:c r="X17" s="55">
        <ns0:f>W17*(1-Inputs!$B$10)+X11</ns0:f>
        <ns0:v>0.8812839616699217</ns0:v>
      </ns0:c>
      <ns0:c r="Y17" s="55">
        <ns0:f>X17*(1-Inputs!$B$10)+Y11</ns0:f>
        <ns0:v>0.8592518626281737</ns0:v>
      </ns0:c>
      <ns0:c r="Z17" s="55">
        <ns0:f>Y17*(1-Inputs!$B$10)+Z11</ns0:f>
        <ns0:v>0.8377705660624692</ns0:v>
      </ns0:c>
    </ns0:row>
    <ns0:row r="18">
      <ns0:c r="A18" s="26" t="inlineStr">
        <ns0:is>
          <ns0:t>Total properties</ns0:t>
        </ns0:is>
      </ns0:c>
      <ns0:c r="C18" s="50">
        <ns0:f>SUM(C13:C16)</ns0:f>
        <ns0:v>0.3333333333333333</ns0:v>
      </ns0:c>
      <ns0:c r="D18" s="50">
        <ns0:f>SUM(D13:D16)</ns0:f>
        <ns0:v>0.6583333333333332</ns0:v>
      </ns0:c>
      <ns0:c r="E18" s="50">
        <ns0:f>SUM(E13:E16)</ns0:f>
        <ns0:v>0.9752083333333332</ns0:v>
      </ns0:c>
      <ns0:c r="F18" s="50">
        <ns0:f>SUM(F13:F16)</ns0:f>
        <ns0:v>1.950828125</ns0:v>
      </ns0:c>
      <ns0:c r="G18" s="50">
        <ns0:f>SUM(G13:G16)</ns0:f>
        <ns0:v>2.902057421875</ns0:v>
      </ns0:c>
      <ns0:c r="H18" s="50">
        <ns0:f>SUM(H13:H16)</ns0:f>
        <ns0:v>3.8295059863281247</ns0:v>
      </ns0:c>
      <ns0:c r="I18" s="50">
        <ns0:f>SUM(I13:I16)</ns0:f>
        <ns0:v>4.733768336669922</ns0:v>
      </ns0:c>
      <ns0:c r="J18" s="50">
        <ns0:f>SUM(J13:J16)</ns0:f>
        <ns0:v>5.6154241282531725</ns0:v>
      </ns0:c>
      <ns0:c r="K18" s="50">
        <ns0:f>SUM(K13:K16)</ns0:f>
        <ns0:v>6.475038525046843</ns0:v>
      </ns0:c>
      <ns0:c r="L18" s="50">
        <ns0:f>SUM(L13:L16)</ns0:f>
        <ns0:v>7.646495895254006</ns0:v>
      </ns0:c>
      <ns0:c r="M18" s="50">
        <ns0:f>SUM(M13:M16)</ns0:f>
        <ns0:v>8.788666831205989</ns0:v>
      </ns0:c>
      <ns0:c r="N18" s="50">
        <ns0:f>SUM(N13:N16)</ns0:f>
        <ns0:v>9.902283493759171</ns0:v>
      </ns0:c>
      <ns0:c r="O18" s="50">
        <ns0:f>SUM(O13:O16)</ns0:f>
        <ns0:v>10.988059739748527</ns0:v>
      </ns0:c>
      <ns0:c r="P18" s="50">
        <ns0:f>SUM(P13:P16)</ns0:f>
        <ns0:v>12.046691579588147</ns0:v>
      </ns0:c>
      <ns0:c r="Q18" s="50">
        <ns0:f>SUM(Q13:Q16)</ns0:f>
        <ns0:v>13.078857623431775</ns0:v>
      </ns0:c>
      <ns0:c r="R18" s="50">
        <ns0:f>SUM(R13:R16)</ns0:f>
        <ns0:v>14.085219516179315</ns0:v>
      </ns0:c>
      <ns0:c r="S18" s="50">
        <ns0:f>SUM(S13:S16)</ns0:f>
        <ns0:v>15.066422361608165</ns0:v>
      </ns0:c>
      <ns0:c r="T18" s="50">
        <ns0:f>SUM(T13:T16)</ns0:f>
        <ns0:v>16.02309513590129</ns0:v>
      </ns0:c>
      <ns0:c r="U18" s="50">
        <ns0:f>SUM(U13:U16)</ns0:f>
        <ns0:v>16.95585109083709</ns0:v>
      </ns0:c>
      <ns0:c r="V18" s="50">
        <ns0:f>SUM(V13:V16)</ns0:f>
        <ns0:v>17.865288146899495</ns0:v>
      </ns0:c>
      <ns0:c r="W18" s="50">
        <ns0:f>SUM(W13:W16)</ns0:f>
        <ns0:v>18.75198927656034</ns0:v>
      </ns0:c>
      <ns0:c r="X18" s="50">
        <ns0:f>SUM(X13:X16)</ns0:f>
        <ns0:v>19.949856211312998</ns0:v>
      </ns0:c>
      <ns0:c r="Y18" s="50">
        <ns0:f>SUM(Y13:Y16)</ns0:f>
        <ns0:v>21.11777647269684</ns0:v>
      </ns0:c>
      <ns0:c r="Z18" s="50">
        <ns0:f>SUM(Z13:Z16)</ns0:f>
        <ns0:v>22.256498727546088</ns0:v>
      </ns0:c>
    </ns0:row>
    <ns0:row r="19" ht="20" customHeight="1">
      <ns0:c r="A19" s="8" t="inlineStr">
        <ns0:is>
          <ns0:t>Revenue and gross profit</ns0:t>
        </ns0:is>
      </ns0:c>
    </ns0:row>
    <ns0:row r="20">
      <ns0:c r="A20" s="9" t="inlineStr">
        <ns0:is>
          <ns0:t>Boutique MRR</ns0:t>
        </ns0:is>
      </ns0:c>
      <ns0:c r="C20" s="31">
        <ns0:f>C13*'Unit Economics'!B12</ns0:f>
        <ns0:v>0.0</ns0:v>
      </ns0:c>
      <ns0:c r="D20" s="31">
        <ns0:f>D13*'Unit Economics'!B12</ns0:f>
        <ns0:v>0.0</ns0:v>
      </ns0:c>
      <ns0:c r="E20" s="31">
        <ns0:f>E13*'Unit Economics'!B12</ns0:f>
        <ns0:v>0.0</ns0:v>
      </ns0:c>
      <ns0:c r="F20" s="31">
        <ns0:f>F13*'Unit Economics'!B12</ns0:f>
        <ns0:v>66.33333333333333</ns0:v>
      </ns0:c>
      <ns0:c r="G20" s="31">
        <ns0:f>G13*'Unit Economics'!B12</ns0:f>
        <ns0:v>131.0083333333333</ns0:v>
      </ns0:c>
      <ns0:c r="H20" s="31">
        <ns0:f>H13*'Unit Economics'!B12</ns0:f>
        <ns0:v>194.06645833333332</ns0:v>
      </ns0:c>
      <ns0:c r="I20" s="31">
        <ns0:f>I13*'Unit Economics'!B12</ns0:f>
        <ns0:v>255.5481302083333</ns0:v>
      </ns0:c>
      <ns0:c r="J20" s="31">
        <ns0:f>J13*'Unit Economics'!B12</ns0:f>
        <ns0:v>315.4927602864583</ns0:v>
      </ns0:c>
      <ns0:c r="K20" s="31">
        <ns0:f>K13*'Unit Economics'!B12</ns0:f>
        <ns0:v>373.93877461263014</ns0:v>
      </ns0:c>
      <ns0:c r="L20" s="31">
        <ns0:f>L13*'Unit Economics'!B12</ns0:f>
        <ns0:v>430.9236385806477</ns0:v>
      </ns0:c>
      <ns0:c r="M20" s="31">
        <ns0:f>M13*'Unit Economics'!B12</ns0:f>
        <ns0:v>486.48388094946483</ns0:v>
      </ns0:c>
      <ns0:c r="N20" s="31">
        <ns0:f>N13*'Unit Economics'!B12</ns0:f>
        <ns0:v>540.6551172590615</ns0:v>
      </ns0:c>
      <ns0:c r="O20" s="31">
        <ns0:f>O13*'Unit Economics'!B12</ns0:f>
        <ns0:v>593.4720726609183</ns0:v>
      </ns0:c>
      <ns0:c r="P20" s="31">
        <ns0:f>P13*'Unit Economics'!B12</ns0:f>
        <ns0:v>644.9686041777287</ns0:v>
      </ns0:c>
      <ns0:c r="Q20" s="31">
        <ns0:f>Q13*'Unit Economics'!B12</ns0:f>
        <ns0:v>695.1777224066188</ns0:v>
      </ns0:c>
      <ns0:c r="R20" s="31">
        <ns0:f>R13*'Unit Economics'!B12</ns0:f>
        <ns0:v>744.1316126797867</ns0:v>
      </ns0:c>
      <ns0:c r="S20" s="31">
        <ns0:f>S13*'Unit Economics'!B12</ns0:f>
        <ns0:v>791.8616556961254</ns0:v>
      </ns0:c>
      <ns0:c r="T20" s="31">
        <ns0:f>T13*'Unit Economics'!B12</ns0:f>
        <ns0:v>838.3984476370556</ns0:v>
      </ns0:c>
      <ns0:c r="U20" s="31">
        <ns0:f>U13*'Unit Economics'!B12</ns0:f>
        <ns0:v>883.7718197794624</ns0:v>
      </ns0:c>
      <ns0:c r="V20" s="31">
        <ns0:f>V13*'Unit Economics'!B12</ns0:f>
        <ns0:v>928.0108576183092</ns0:v>
      </ns0:c>
      <ns0:c r="W20" s="31">
        <ns0:f>W13*'Unit Economics'!B12</ns0:f>
        <ns0:v>971.1439195111848</ns0:v>
      </ns0:c>
      <ns0:c r="X20" s="31">
        <ns0:f>X13*'Unit Economics'!B12</ns0:f>
        <ns0:v>1013.1986548567384</ns0:v>
      </ns0:c>
      <ns0:c r="Y20" s="31">
        <ns0:f>Y13*'Unit Economics'!B12</ns0:f>
        <ns0:v>1054.2020218186533</ns0:v>
      </ns0:c>
      <ns0:c r="Z20" s="31">
        <ns0:f>Z13*'Unit Economics'!B12</ns0:f>
        <ns0:v>1094.1803046065202</ns0:v>
      </ns0:c>
    </ns0:row>
    <ns0:row r="21">
      <ns0:c r="A21" s="9" t="inlineStr">
        <ns0:is>
          <ns0:t>Independent MRR</ns0:t>
        </ns0:is>
      </ns0:c>
      <ns0:c r="C21" s="31">
        <ns0:f>C14*'Unit Economics'!C12</ns0:f>
        <ns0:v>99.66666666666666</ns0:v>
      </ns0:c>
      <ns0:c r="D21" s="31">
        <ns0:f>D14*'Unit Economics'!C12</ns0:f>
        <ns0:v>196.84166666666664</ns0:v>
      </ns0:c>
      <ns0:c r="E21" s="31">
        <ns0:f>E14*'Unit Economics'!C12</ns0:f>
        <ns0:v>291.58729166666666</ns0:v>
      </ns0:c>
      <ns0:c r="F21" s="31">
        <ns0:f>F14*'Unit Economics'!C12</ns0:f>
        <ns0:v>483.63094270833335</ns0:v>
      </ns0:c>
      <ns0:c r="G21" s="31">
        <ns0:f>G14*'Unit Economics'!C12</ns0:f>
        <ns0:v>670.8735024739583</ns0:v>
      </ns0:c>
      <ns0:c r="H21" s="31">
        <ns0:f>H14*'Unit Economics'!C12</ns0:f>
        <ns0:v>853.4349982454427</ns0:v>
      </ns0:c>
      <ns0:c r="I21" s="31">
        <ns0:f>I14*'Unit Economics'!C12</ns0:f>
        <ns0:v>1031.4324566226398</ns0:v>
      </ns0:c>
      <ns0:c r="J21" s="31">
        <ns0:f>J14*'Unit Economics'!C12</ns0:f>
        <ns0:v>1204.979978540407</ns0:v>
      </ns0:c>
      <ns0:c r="K21" s="31">
        <ns0:f>K14*'Unit Economics'!C12</ns0:f>
        <ns0:v>1374.1888124102302</ns0:v>
      </ns0:c>
      <ns0:c r="L21" s="31">
        <ns0:f>L14*'Unit Economics'!C12</ns0:f>
        <ns0:v>1638.8340920999744</ns0:v>
      </ns0:c>
      <ns0:c r="M21" s="31">
        <ns0:f>M14*'Unit Economics'!C12</ns0:f>
        <ns0:v>1896.863239797475</ns0:v>
      </ns0:c>
      <ns0:c r="N21" s="31">
        <ns0:f>N14*'Unit Economics'!C12</ns0:f>
        <ns0:v>2148.4416588025383</ns0:v>
      </ns0:c>
      <ns0:c r="O21" s="31">
        <ns0:f>O14*'Unit Economics'!C12</ns0:f>
        <ns0:v>2294.063950665808</ns0:v>
      </ns0:c>
      <ns0:c r="P21" s="31">
        <ns0:f>P14*'Unit Economics'!C12</ns0:f>
        <ns0:v>2436.0456852324965</ns0:v>
      </ns0:c>
      <ns0:c r="Q21" s="31">
        <ns0:f>Q14*'Unit Economics'!C12</ns0:f>
        <ns0:v>2574.477876435017</ns0:v>
      </ns0:c>
      <ns0:c r="R21" s="31">
        <ns0:f>R14*'Unit Economics'!C12</ns0:f>
        <ns0:v>2709.449262857475</ns0:v>
      </ns0:c>
      <ns0:c r="S21" s="31">
        <ns0:f>S14*'Unit Economics'!C12</ns0:f>
        <ns0:v>2841.046364619371</ns0:v>
      </ns0:c>
      <ns0:c r="T21" s="31">
        <ns0:f>T14*'Unit Economics'!C12</ns0:f>
        <ns0:v>2969.3535388372197</ns0:v>
      </ns0:c>
      <ns0:c r="U21" s="31">
        <ns0:f>U14*'Unit Economics'!C12</ns0:f>
        <ns0:v>3094.453033699622</ns0:v>
      </ns0:c>
      <ns0:c r="V21" s="31">
        <ns0:f>V14*'Unit Economics'!C12</ns0:f>
        <ns0:v>3216.425041190465</ns0:v>
      </ns0:c>
      <ns0:c r="W21" s="31">
        <ns0:f>W14*'Unit Economics'!C12</ns0:f>
        <ns0:v>3335.3477484940363</ns0:v>
      </ns0:c>
      <ns0:c r="X21" s="31">
        <ns0:f>X14*'Unit Economics'!C12</ns0:f>
        <ns0:v>3451.2973881150187</ns0:v>
      </ns0:c>
      <ns0:c r="Y21" s="31">
        <ns0:f>Y14*'Unit Economics'!C12</ns0:f>
        <ns0:v>3564.3482867454763</ns0:v>
      </ns0:c>
      <ns0:c r="Z21" s="31">
        <ns0:f>Z14*'Unit Economics'!C12</ns0:f>
        <ns0:v>3674.572912910173</ns0:v>
      </ns0:c>
    </ns0:row>
    <ns0:row r="22">
      <ns0:c r="A22" s="9" t="inlineStr">
        <ns0:is>
          <ns0:t>Midscale MRR</ns0:t>
        </ns0:is>
      </ns0:c>
      <ns0:c r="C22" s="31">
        <ns0:f>C15*'Unit Economics'!D12</ns0:f>
        <ns0:v>0.0</ns0:v>
      </ns0:c>
      <ns0:c r="D22" s="31">
        <ns0:f>D15*'Unit Economics'!D12</ns0:f>
        <ns0:v>0.0</ns0:v>
      </ns0:c>
      <ns0:c r="E22" s="31">
        <ns0:f>E15*'Unit Economics'!D12</ns0:f>
        <ns0:v>0.0</ns0:v>
      </ns0:c>
      <ns0:c r="F22" s="31">
        <ns0:f>F15*'Unit Economics'!D12</ns0:f>
        <ns0:v>0.0</ns0:v>
      </ns0:c>
      <ns0:c r="G22" s="31">
        <ns0:f>G15*'Unit Economics'!D12</ns0:f>
        <ns0:v>0.0</ns0:v>
      </ns0:c>
      <ns0:c r="H22" s="31">
        <ns0:f>H15*'Unit Economics'!D12</ns0:f>
        <ns0:v>0.0</ns0:v>
      </ns0:c>
      <ns0:c r="I22" s="31">
        <ns0:f>I15*'Unit Economics'!D12</ns0:f>
        <ns0:v>0.0</ns0:v>
      </ns0:c>
      <ns0:c r="J22" s="31">
        <ns0:f>J15*'Unit Economics'!D12</ns0:f>
        <ns0:v>0.0</ns0:v>
      </ns0:c>
      <ns0:c r="K22" s="31">
        <ns0:f>K15*'Unit Economics'!D12</ns0:f>
        <ns0:v>0.0</ns0:v>
      </ns0:c>
      <ns0:c r="L22" s="31">
        <ns0:f>L15*'Unit Economics'!D12</ns0:f>
        <ns0:v>0.0</ns0:v>
      </ns0:c>
      <ns0:c r="M22" s="31">
        <ns0:f>M15*'Unit Economics'!D12</ns0:f>
        <ns0:v>0.0</ns0:v>
      </ns0:c>
      <ns0:c r="N22" s="31">
        <ns0:f>N15*'Unit Economics'!D12</ns0:f>
        <ns0:v>0.0</ns0:v>
      </ns0:c>
      <ns0:c r="O22" s="31">
        <ns0:f>O15*'Unit Economics'!D12</ns0:f>
        <ns0:v>199.66666666666666</ns0:v>
      </ns0:c>
      <ns0:c r="P22" s="31">
        <ns0:f>P15*'Unit Economics'!D12</ns0:f>
        <ns0:v>394.3416666666666</ns0:v>
      </ns0:c>
      <ns0:c r="Q22" s="31">
        <ns0:f>Q15*'Unit Economics'!D12</ns0:f>
        <ns0:v>584.1497916666666</ns0:v>
      </ns0:c>
      <ns0:c r="R22" s="31">
        <ns0:f>R15*'Unit Economics'!D12</ns0:f>
        <ns0:v>769.2127135416665</ns0:v>
      </ns0:c>
      <ns0:c r="S22" s="31">
        <ns0:f>S15*'Unit Economics'!D12</ns0:f>
        <ns0:v>949.6490623697915</ns0:v>
      </ns0:c>
      <ns0:c r="T22" s="31">
        <ns0:f>T15*'Unit Economics'!D12</ns0:f>
        <ns0:v>1125.5745024772134</ns0:v>
      </ns0:c>
      <ns0:c r="U22" s="31">
        <ns0:f>U15*'Unit Economics'!D12</ns0:f>
        <ns0:v>1297.1018065819496</ns0:v>
      </ns0:c>
      <ns0:c r="V22" s="31">
        <ns0:f>V15*'Unit Economics'!D12</ns0:f>
        <ns0:v>1464.3409280840676</ns0:v>
      </ns0:c>
      <ns0:c r="W22" s="31">
        <ns0:f>W15*'Unit Economics'!D12</ns0:f>
        <ns0:v>1627.3990715486325</ns0:v>
      </ns0:c>
      <ns0:c r="X22" s="31">
        <ns0:f>X15*'Unit Economics'!D12</ns0:f>
        <ns0:v>1786.3807614265834</ns0:v>
      </ns0:c>
      <ns0:c r="Y22" s="31">
        <ns0:f>Y15*'Unit Economics'!D12</ns0:f>
        <ns0:v>1941.3879090575854</ns0:v>
      </ns0:c>
      <ns0:c r="Z22" s="31">
        <ns0:f>Z15*'Unit Economics'!D12</ns0:f>
        <ns0:v>2092.5198779978127</ns0:v>
      </ns0:c>
    </ns0:row>
    <ns0:row r="23">
      <ns0:c r="A23" s="9" t="inlineStr">
        <ns0:is>
          <ns0:t>Resort MRR</ns0:t>
        </ns0:is>
      </ns0:c>
      <ns0:c r="C23" s="31">
        <ns0:f>C16*'Unit Economics'!E12</ns0:f>
        <ns0:v>0.0</ns0:v>
      </ns0:c>
      <ns0:c r="D23" s="31">
        <ns0:f>D16*'Unit Economics'!E12</ns0:f>
        <ns0:v>0.0</ns0:v>
      </ns0:c>
      <ns0:c r="E23" s="31">
        <ns0:f>E16*'Unit Economics'!E12</ns0:f>
        <ns0:v>0.0</ns0:v>
      </ns0:c>
      <ns0:c r="F23" s="31">
        <ns0:f>F16*'Unit Economics'!E12</ns0:f>
        <ns0:v>0.0</ns0:v>
      </ns0:c>
      <ns0:c r="G23" s="31">
        <ns0:f>G16*'Unit Economics'!E12</ns0:f>
        <ns0:v>0.0</ns0:v>
      </ns0:c>
      <ns0:c r="H23" s="31">
        <ns0:f>H16*'Unit Economics'!E12</ns0:f>
        <ns0:v>0.0</ns0:v>
      </ns0:c>
      <ns0:c r="I23" s="31">
        <ns0:f>I16*'Unit Economics'!E12</ns0:f>
        <ns0:v>0.0</ns0:v>
      </ns0:c>
      <ns0:c r="J23" s="31">
        <ns0:f>J16*'Unit Economics'!E12</ns0:f>
        <ns0:v>0.0</ns0:v>
      </ns0:c>
      <ns0:c r="K23" s="31">
        <ns0:f>K16*'Unit Economics'!E12</ns0:f>
        <ns0:v>0.0</ns0:v>
      </ns0:c>
      <ns0:c r="L23" s="31">
        <ns0:f>L16*'Unit Economics'!E12</ns0:f>
        <ns0:v>0.0</ns0:v>
      </ns0:c>
      <ns0:c r="M23" s="31">
        <ns0:f>M16*'Unit Economics'!E12</ns0:f>
        <ns0:v>0.0</ns0:v>
      </ns0:c>
      <ns0:c r="N23" s="31">
        <ns0:f>N16*'Unit Economics'!E12</ns0:f>
        <ns0:v>0.0</ns0:v>
      </ns0:c>
      <ns0:c r="O23" s="31">
        <ns0:f>O16*'Unit Economics'!E12</ns0:f>
        <ns0:v>0.0</ns0:v>
      </ns0:c>
      <ns0:c r="P23" s="31">
        <ns0:f>P16*'Unit Economics'!E12</ns0:f>
        <ns0:v>0.0</ns0:v>
      </ns0:c>
      <ns0:c r="Q23" s="31">
        <ns0:f>Q16*'Unit Economics'!E12</ns0:f>
        <ns0:v>0.0</ns0:v>
      </ns0:c>
      <ns0:c r="R23" s="31">
        <ns0:f>R16*'Unit Economics'!E12</ns0:f>
        <ns0:v>0.0</ns0:v>
      </ns0:c>
      <ns0:c r="S23" s="31">
        <ns0:f>S16*'Unit Economics'!E12</ns0:f>
        <ns0:v>0.0</ns0:v>
      </ns0:c>
      <ns0:c r="T23" s="31">
        <ns0:f>T16*'Unit Economics'!E12</ns0:f>
        <ns0:v>0.0</ns0:v>
      </ns0:c>
      <ns0:c r="U23" s="31">
        <ns0:f>U16*'Unit Economics'!E12</ns0:f>
        <ns0:v>0.0</ns0:v>
      </ns0:c>
      <ns0:c r="V23" s="31">
        <ns0:f>V16*'Unit Economics'!E12</ns0:f>
        <ns0:v>0.0</ns0:v>
      </ns0:c>
      <ns0:c r="W23" s="31">
        <ns0:f>W16*'Unit Economics'!E12</ns0:f>
        <ns0:v>0.0</ns0:v>
      </ns0:c>
      <ns0:c r="X23" s="31">
        <ns0:f>X16*'Unit Economics'!E12</ns0:f>
        <ns0:v>366.3333333333333</ns0:v>
      </ns0:c>
      <ns0:c r="Y23" s="31">
        <ns0:f>Y16*'Unit Economics'!E12</ns0:f>
        <ns0:v>723.5083333333332</ns0:v>
      </ns0:c>
      <ns0:c r="Z23" s="31">
        <ns0:f>Z16*'Unit Economics'!E12</ns0:f>
        <ns0:v>1071.7539583333332</ns0:v>
      </ns0:c>
    </ns0:row>
    <ns0:row r="24">
      <ns0:c r="A24" s="9" t="inlineStr">
        <ns0:is>
          <ns0:t>Group MRR</ns0:t>
        </ns0:is>
      </ns0:c>
      <ns0:c r="C24" s="31">
        <ns0:f>C17*'Unit Economics'!F12</ns0:f>
        <ns0:v>0.0</ns0:v>
      </ns0:c>
      <ns0:c r="D24" s="31">
        <ns0:f>D17*'Unit Economics'!F12</ns0:f>
        <ns0:v>0.0</ns0:v>
      </ns0:c>
      <ns0:c r="E24" s="31">
        <ns0:f>E17*'Unit Economics'!F12</ns0:f>
        <ns0:v>0.0</ns0:v>
      </ns0:c>
      <ns0:c r="F24" s="31">
        <ns0:f>F17*'Unit Economics'!F12</ns0:f>
        <ns0:v>0.0</ns0:v>
      </ns0:c>
      <ns0:c r="G24" s="31">
        <ns0:f>G17*'Unit Economics'!F12</ns0:f>
        <ns0:v>0.0</ns0:v>
      </ns0:c>
      <ns0:c r="H24" s="31">
        <ns0:f>H17*'Unit Economics'!F12</ns0:f>
        <ns0:v>0.0</ns0:v>
      </ns0:c>
      <ns0:c r="I24" s="31">
        <ns0:f>I17*'Unit Economics'!F12</ns0:f>
        <ns0:v>0.0</ns0:v>
      </ns0:c>
      <ns0:c r="J24" s="31">
        <ns0:f>J17*'Unit Economics'!F12</ns0:f>
        <ns0:v>0.0</ns0:v>
      </ns0:c>
      <ns0:c r="K24" s="31">
        <ns0:f>K17*'Unit Economics'!F12</ns0:f>
        <ns0:v>0.0</ns0:v>
      </ns0:c>
      <ns0:c r="L24" s="31">
        <ns0:f>L17*'Unit Economics'!F12</ns0:f>
        <ns0:v>0.0</ns0:v>
      </ns0:c>
      <ns0:c r="M24" s="31">
        <ns0:f>M17*'Unit Economics'!F12</ns0:f>
        <ns0:v>0.0</ns0:v>
      </ns0:c>
      <ns0:c r="N24" s="31">
        <ns0:f>N17*'Unit Economics'!F12</ns0:f>
        <ns0:v>0.0</ns0:v>
      </ns0:c>
      <ns0:c r="O24" s="31">
        <ns0:f>O17*'Unit Economics'!F12</ns0:f>
        <ns0:v>0.0</ns0:v>
      </ns0:c>
      <ns0:c r="P24" s="31">
        <ns0:f>P17*'Unit Economics'!F12</ns0:f>
        <ns0:v>0.0</ns0:v>
      </ns0:c>
      <ns0:c r="Q24" s="31">
        <ns0:f>Q17*'Unit Economics'!F12</ns0:f>
        <ns0:v>0.0</ns0:v>
      </ns0:c>
      <ns0:c r="R24" s="31">
        <ns0:f>R17*'Unit Economics'!F12</ns0:f>
        <ns0:v>925.8166666666666</ns0:v>
      </ns0:c>
      <ns0:c r="S24" s="31">
        <ns0:f>S17*'Unit Economics'!F12</ns0:f>
        <ns0:v>1828.4879166666663</ns0:v>
      </ns0:c>
      <ns0:c r="T24" s="31">
        <ns0:f>T17*'Unit Economics'!F12</ns0:f>
        <ns0:v>2708.5923854166663</ns0:v>
      </ns0:c>
      <ns0:c r="U24" s="31">
        <ns0:f>U17*'Unit Economics'!F12</ns0:f>
        <ns0:v>2640.8775757812496</ns0:v>
      </ns0:c>
      <ns0:c r="V24" s="31">
        <ns0:f>V17*'Unit Economics'!F12</ns0:f>
        <ns0:v>2574.8556363867183</ns0:v>
      </ns0:c>
      <ns0:c r="W24" s="31">
        <ns0:f>W17*'Unit Economics'!F12</ns0:f>
        <ns0:v>2510.48424547705</ns0:v>
      </ns0:c>
      <ns0:c r="X24" s="31">
        <ns0:f>X17*'Unit Economics'!F12</ns0:f>
        <ns0:v>2447.722139340124</ns0:v>
      </ns0:c>
      <ns0:c r="Y24" s="31">
        <ns0:f>Y17*'Unit Economics'!F12</ns0:f>
        <ns0:v>2386.529085856621</ns0:v>
      </ns0:c>
      <ns0:c r="Z24" s="31">
        <ns0:f>Z17*'Unit Economics'!F12</ns0:f>
        <ns0:v>2326.865858710205</ns0:v>
      </ns0:c>
    </ns0:row>
    <ns0:row r="25">
      <ns0:c r="A25" s="26" t="inlineStr">
        <ns0:is>
          <ns0:t>Total MRR</ns0:t>
        </ns0:is>
      </ns0:c>
      <ns0:c r="C25" s="33">
        <ns0:f>SUM(C20:C23)+C24</ns0:f>
        <ns0:v>99.66666666666666</ns0:v>
      </ns0:c>
      <ns0:c r="D25" s="33">
        <ns0:f>SUM(D20:D23)+D24</ns0:f>
        <ns0:v>196.84166666666664</ns0:v>
      </ns0:c>
      <ns0:c r="E25" s="33">
        <ns0:f>SUM(E20:E23)+E24</ns0:f>
        <ns0:v>291.58729166666666</ns0:v>
      </ns0:c>
      <ns0:c r="F25" s="33">
        <ns0:f>SUM(F20:F23)+F24</ns0:f>
        <ns0:v>549.9642760416667</ns0:v>
      </ns0:c>
      <ns0:c r="G25" s="33">
        <ns0:f>SUM(G20:G23)+G24</ns0:f>
        <ns0:v>801.8818358072916</ns0:v>
      </ns0:c>
      <ns0:c r="H25" s="33">
        <ns0:f>SUM(H20:H23)+H24</ns0:f>
        <ns0:v>1047.501456578776</ns0:v>
      </ns0:c>
      <ns0:c r="I25" s="33">
        <ns0:f>SUM(I20:I23)+I24</ns0:f>
        <ns0:v>1286.9805868309732</ns0:v>
      </ns0:c>
      <ns0:c r="J25" s="33">
        <ns0:f>SUM(J20:J23)+J24</ns0:f>
        <ns0:v>1520.4727388268652</ns0:v>
      </ns0:c>
      <ns0:c r="K25" s="33">
        <ns0:f>SUM(K20:K23)+K24</ns0:f>
        <ns0:v>1748.1275870228603</ns0:v>
      </ns0:c>
      <ns0:c r="L25" s="33">
        <ns0:f>SUM(L20:L23)+L24</ns0:f>
        <ns0:v>2069.757730680622</ns0:v>
      </ns0:c>
      <ns0:c r="M25" s="33">
        <ns0:f>SUM(M20:M23)+M24</ns0:f>
        <ns0:v>2383.3471207469397</ns0:v>
      </ns0:c>
      <ns0:c r="N25" s="33">
        <ns0:f>SUM(N20:N23)+N24</ns0:f>
        <ns0:v>2689.0967760616</ns0:v>
      </ns0:c>
      <ns0:c r="O25" s="33">
        <ns0:f>SUM(O20:O23)+O24</ns0:f>
        <ns0:v>3087.202689993393</ns0:v>
      </ns0:c>
      <ns0:c r="P25" s="33">
        <ns0:f>SUM(P20:P23)+P24</ns0:f>
        <ns0:v>3475.3559560768917</ns0:v>
      </ns0:c>
      <ns0:c r="Q25" s="33">
        <ns0:f>SUM(Q20:Q23)+Q24</ns0:f>
        <ns0:v>3853.8053905083025</ns0:v>
      </ns0:c>
      <ns0:c r="R25" s="33">
        <ns0:f>SUM(R20:R23)+R24</ns0:f>
        <ns0:v>5148.610255745595</ns0:v>
      </ns0:c>
      <ns0:c r="S25" s="33">
        <ns0:f>SUM(S20:S23)+S24</ns0:f>
        <ns0:v>6411.044999351954</ns0:v>
      </ns0:c>
      <ns0:c r="T25" s="33">
        <ns0:f>SUM(T20:T23)+T24</ns0:f>
        <ns0:v>7641.918874368155</ns0:v>
      </ns0:c>
      <ns0:c r="U25" s="33">
        <ns0:f>SUM(U20:U23)+U24</ns0:f>
        <ns0:v>7916.204235842284</ns0:v>
      </ns0:c>
      <ns0:c r="V25" s="33">
        <ns0:f>SUM(V20:V23)+V24</ns0:f>
        <ns0:v>8183.63246327956</ns0:v>
      </ns0:c>
      <ns0:c r="W25" s="33">
        <ns0:f>SUM(W20:W23)+W24</ns0:f>
        <ns0:v>8444.374985030903</ns0:v>
      </ns0:c>
      <ns0:c r="X25" s="33">
        <ns0:f>SUM(X20:X23)+X24</ns0:f>
        <ns0:v>9064.932277071799</ns0:v>
      </ns0:c>
      <ns0:c r="Y25" s="33">
        <ns0:f>SUM(Y20:Y23)+Y24</ns0:f>
        <ns0:v>9669.975636811669</ns0:v>
      </ns0:c>
      <ns0:c r="Z25" s="33">
        <ns0:f>SUM(Z20:Z23)+Z24</ns0:f>
        <ns0:v>10259.892912558043</ns0:v>
      </ns0:c>
    </ns0:row>
    <ns0:row r="26" ht="20" customHeight="1">
      <ns0:c r="A26" s="8" t="inlineStr">
        <ns0:is>
          <ns0:t>Cost of service</ns0:t>
        </ns0:is>
      </ns0:c>
    </ns0:row>
    <ns0:row r="27">
      <ns0:c r="A27" s="9" t="inlineStr">
        <ns0:is>
          <ns0:t>Boutique COGS</ns0:t>
        </ns0:is>
      </ns0:c>
      <ns0:c r="C27" s="31">
        <ns0:f>C13*'Unit Economics'!B23</ns0:f>
        <ns0:v>0.0</ns0:v>
      </ns0:c>
      <ns0:c r="D27" s="31">
        <ns0:f>D13*'Unit Economics'!B23</ns0:f>
        <ns0:v>0.0</ns0:v>
      </ns0:c>
      <ns0:c r="E27" s="31">
        <ns0:f>E13*'Unit Economics'!B23</ns0:f>
        <ns0:v>0.0</ns0:v>
      </ns0:c>
      <ns0:c r="F27" s="31">
        <ns0:f>F13*'Unit Economics'!B23</ns0:f>
        <ns0:v>13.106626815999999</ns0:v>
      </ns0:c>
      <ns0:c r="G27" s="31">
        <ns0:f>G13*'Unit Economics'!B23</ns0:f>
        <ns0:v>25.885587961599995</ns0:v>
      </ns0:c>
      <ns0:c r="H27" s="31">
        <ns0:f>H13*'Unit Economics'!B23</ns0:f>
        <ns0:v>38.345075078559994</ns0:v>
      </ns0:c>
      <ns0:c r="I27" s="31">
        <ns0:f>I13*'Unit Economics'!B23</ns0:f>
        <ns0:v>50.49307501759599</ns0:v>
      </ns0:c>
      <ns0:c r="J27" s="31">
        <ns0:f>J13*'Unit Economics'!B23</ns0:f>
        <ns0:v>62.33737495815609</ns0:v>
      </ns0:c>
      <ns0:c r="K27" s="31">
        <ns0:f>K13*'Unit Economics'!B23</ns0:f>
        <ns0:v>73.88556740020218</ns0:v>
      </ns0:c>
      <ns0:c r="L27" s="31">
        <ns0:f>L13*'Unit Economics'!B23</ns0:f>
        <ns0:v>85.14505503119713</ns0:v>
      </ns0:c>
      <ns0:c r="M27" s="31">
        <ns0:f>M13*'Unit Economics'!B23</ns0:f>
        <ns0:v>96.1230554714172</ns0:v>
      </ns0:c>
      <ns0:c r="N27" s="31">
        <ns0:f>N13*'Unit Economics'!B23</ns0:f>
        <ns0:v>106.82660590063176</ns0:v>
      </ns0:c>
      <ns0:c r="O27" s="31">
        <ns0:f>O13*'Unit Economics'!B23</ns0:f>
        <ns0:v>117.26256756911597</ns0:v>
      </ns0:c>
      <ns0:c r="P27" s="31">
        <ns0:f>P13*'Unit Economics'!B23</ns0:f>
        <ns0:v>127.43763019588806</ns0:v>
      </ns0:c>
      <ns0:c r="Q27" s="31">
        <ns0:f>Q13*'Unit Economics'!B23</ns0:f>
        <ns0:v>137.3583162569909</ns0:v>
      </ns0:c>
      <ns0:c r="R27" s="31">
        <ns0:f>R13*'Unit Economics'!B23</ns0:f>
        <ns0:v>147.0309851665661</ns0:v>
      </ns0:c>
      <ns0:c r="S27" s="31">
        <ns0:f>S13*'Unit Economics'!B23</ns0:f>
        <ns0:v>156.46183735340193</ns0:v>
      </ns0:c>
      <ns0:c r="T27" s="31">
        <ns0:f>T13*'Unit Economics'!B23</ns0:f>
        <ns0:v>165.65691823556688</ns0:v>
      </ns0:c>
      <ns0:c r="U27" s="31">
        <ns0:f>U13*'Unit Economics'!B23</ns0:f>
        <ns0:v>174.6221220956777</ns0:v>
      </ns0:c>
      <ns0:c r="V27" s="31">
        <ns0:f>V13*'Unit Economics'!B23</ns0:f>
        <ns0:v>183.36319585928575</ns0:v>
      </ns0:c>
      <ns0:c r="W27" s="31">
        <ns0:f>W13*'Unit Economics'!B23</ns0:f>
        <ns0:v>191.8857427788036</ns0:v>
      </ns0:c>
      <ns0:c r="X27" s="31">
        <ns0:f>X13*'Unit Economics'!B23</ns0:f>
        <ns0:v>200.1952260253335</ns0:v>
      </ns0:c>
      <ns0:c r="Y27" s="31">
        <ns0:f>Y13*'Unit Economics'!B23</ns0:f>
        <ns0:v>208.29697219070016</ns0:v>
      </ns0:c>
      <ns0:c r="Z27" s="31">
        <ns0:f>Z13*'Unit Economics'!B23</ns0:f>
        <ns0:v>216.19617470193265</ns0:v>
      </ns0:c>
    </ns0:row>
    <ns0:row r="28">
      <ns0:c r="A28" s="9" t="inlineStr">
        <ns0:is>
          <ns0:t>Independent COGS</ns0:t>
        </ns0:is>
      </ns0:c>
      <ns0:c r="C28" s="31">
        <ns0:f>C14*'Unit Economics'!C23</ns0:f>
        <ns0:v>19.688789333333332</ns0:v>
      </ns0:c>
      <ns0:c r="D28" s="31">
        <ns0:f>D14*'Unit Economics'!C23</ns0:f>
        <ns0:v>38.88535893333332</ns0:v>
      </ns0:c>
      <ns0:c r="E28" s="31">
        <ns0:f>E14*'Unit Economics'!C23</ns0:f>
        <ns0:v>57.602014293333326</ns0:v>
      </ns0:c>
      <ns0:c r="F28" s="31">
        <ns0:f>F14*'Unit Economics'!C23</ns0:f>
        <ns0:v>95.53954260266666</ns0:v>
      </ns0:c>
      <ns0:c r="G28" s="31">
        <ns0:f>G14*'Unit Economics'!C23</ns0:f>
        <ns0:v>132.52863270426667</ns0:v>
      </ns0:c>
      <ns0:c r="H28" s="31">
        <ns0:f>H14*'Unit Economics'!C23</ns0:f>
        <ns0:v>168.59299555332663</ns0:v>
      </ns0:c>
      <ns0:c r="I28" s="31">
        <ns0:f>I14*'Unit Economics'!C23</ns0:f>
        <ns0:v>203.75574933116013</ns0:v>
      </ns0:c>
      <ns0:c r="J28" s="31">
        <ns0:f>J14*'Unit Economics'!C23</ns0:f>
        <ns0:v>238.0394342645478</ns0:v>
      </ns0:c>
      <ns0:c r="K28" s="31">
        <ns0:f>K14*'Unit Economics'!C23</ns0:f>
        <ns0:v>271.46602707460073</ns0:v>
      </ns0:c>
      <ns0:c r="L28" s="31">
        <ns0:f>L14*'Unit Economics'!C23</ns0:f>
        <ns0:v>323.74574439773573</ns0:v>
      </ns0:c>
      <ns0:c r="M28" s="31">
        <ns0:f>M14*'Unit Economics'!C23</ns0:f>
        <ns0:v>374.7184687877923</ns0:v>
      </ns0:c>
      <ns0:c r="N28" s="31">
        <ns0:f>N14*'Unit Economics'!C23</ns0:f>
        <ns0:v>424.4168750680975</ns0:v>
      </ns0:c>
      <ns0:c r="O28" s="31">
        <ns0:f>O14*'Unit Economics'!C23</ns0:f>
        <ns0:v>453.1840318580617</ns0:v>
      </ns0:c>
      <ns0:c r="P28" s="31">
        <ns0:f>P14*'Unit Economics'!C23</ns0:f>
        <ns0:v>481.23200972827686</ns0:v>
      </ns0:c>
      <ns0:c r="Q28" s="31">
        <ns0:f>Q14*'Unit Economics'!C23</ns0:f>
        <ns0:v>508.5787881517366</ns0:v>
      </ns0:c>
      <ns0:c r="R28" s="31">
        <ns0:f>R14*'Unit Economics'!C23</ns0:f>
        <ns0:v>535.2418971146099</ns0:v>
      </ns0:c>
      <ns0:c r="S28" s="31">
        <ns0:f>S14*'Unit Economics'!C23</ns0:f>
        <ns0:v>561.2384283534112</ns0:v>
      </ns0:c>
      <ns0:c r="T28" s="31">
        <ns0:f>T14*'Unit Economics'!C23</ns0:f>
        <ns0:v>586.5850463112424</ns0:v>
      </ns0:c>
      <ns0:c r="U28" s="31">
        <ns0:f>U14*'Unit Economics'!C23</ns0:f>
        <ns0:v>611.297998820128</ns0:v>
      </ns0:c>
      <ns0:c r="V28" s="31">
        <ns0:f>V14*'Unit Economics'!C23</ns0:f>
        <ns0:v>635.3931275162914</ns0:v>
      </ns0:c>
      <ns0:c r="W28" s="31">
        <ns0:f>W14*'Unit Economics'!C23</ns0:f>
        <ns0:v>658.8858779950508</ns0:v>
      </ns0:c>
      <ns0:c r="X28" s="31">
        <ns0:f>X14*'Unit Economics'!C23</ns0:f>
        <ns0:v>681.7913097118411</ns0:v>
      </ns0:c>
      <ns0:c r="Y28" s="31">
        <ns0:f>Y14*'Unit Economics'!C23</ns0:f>
        <ns0:v>704.1241056357118</ns0:v>
      </ns0:c>
      <ns0:c r="Z28" s="31">
        <ns0:f>Z14*'Unit Economics'!C23</ns0:f>
        <ns0:v>725.8985816614857</ns0:v>
      </ns0:c>
    </ns0:row>
    <ns0:row r="29">
      <ns0:c r="A29" s="9" t="inlineStr">
        <ns0:is>
          <ns0:t>Midscale COGS</ns0:t>
        </ns0:is>
      </ns0:c>
      <ns0:c r="C29" s="31">
        <ns0:f>C15*'Unit Economics'!D23</ns0:f>
        <ns0:v>0.0</ns0:v>
      </ns0:c>
      <ns0:c r="D29" s="31">
        <ns0:f>D15*'Unit Economics'!D23</ns0:f>
        <ns0:v>0.0</ns0:v>
      </ns0:c>
      <ns0:c r="E29" s="31">
        <ns0:f>E15*'Unit Economics'!D23</ns0:f>
        <ns0:v>0.0</ns0:v>
      </ns0:c>
      <ns0:c r="F29" s="31">
        <ns0:f>F15*'Unit Economics'!D23</ns0:f>
        <ns0:v>0.0</ns0:v>
      </ns0:c>
      <ns0:c r="G29" s="31">
        <ns0:f>G15*'Unit Economics'!D23</ns0:f>
        <ns0:v>0.0</ns0:v>
      </ns0:c>
      <ns0:c r="H29" s="31">
        <ns0:f>H15*'Unit Economics'!D23</ns0:f>
        <ns0:v>0.0</ns0:v>
      </ns0:c>
      <ns0:c r="I29" s="31">
        <ns0:f>I15*'Unit Economics'!D23</ns0:f>
        <ns0:v>0.0</ns0:v>
      </ns0:c>
      <ns0:c r="J29" s="31">
        <ns0:f>J15*'Unit Economics'!D23</ns0:f>
        <ns0:v>0.0</ns0:v>
      </ns0:c>
      <ns0:c r="K29" s="31">
        <ns0:f>K15*'Unit Economics'!D23</ns0:f>
        <ns0:v>0.0</ns0:v>
      </ns0:c>
      <ns0:c r="L29" s="31">
        <ns0:f>L15*'Unit Economics'!D23</ns0:f>
        <ns0:v>0.0</ns0:v>
      </ns0:c>
      <ns0:c r="M29" s="31">
        <ns0:f>M15*'Unit Economics'!D23</ns0:f>
        <ns0:v>0.0</ns0:v>
      </ns0:c>
      <ns0:c r="N29" s="31">
        <ns0:f>N15*'Unit Economics'!D23</ns0:f>
        <ns0:v>0.0</ns0:v>
      </ns0:c>
      <ns0:c r="O29" s="31">
        <ns0:f>O15*'Unit Economics'!D23</ns0:f>
        <ns0:v>40.07827999999999</ns0:v>
      </ns0:c>
      <ns0:c r="P29" s="31">
        <ns0:f>P15*'Unit Economics'!D23</ns0:f>
        <ns0:v>79.15460299999998</ns0:v>
      </ns0:c>
      <ns0:c r="Q29" s="31">
        <ns0:f>Q15*'Unit Economics'!D23</ns0:f>
        <ns0:v>117.25401792499999</ns0:v>
      </ns0:c>
      <ns0:c r="R29" s="31">
        <ns0:f>R15*'Unit Economics'!D23</ns0:f>
        <ns0:v>154.40094747687496</ns0:v>
      </ns0:c>
      <ns0:c r="S29" s="31">
        <ns0:f>S15*'Unit Economics'!D23</ns0:f>
        <ns0:v>190.61920378995308</ns0:v>
      </ns0:c>
      <ns0:c r="T29" s="31">
        <ns0:f>T15*'Unit Economics'!D23</ns0:f>
        <ns0:v>225.93200369520423</ns0:v>
      </ns0:c>
      <ns0:c r="U29" s="31">
        <ns0:f>U15*'Unit Economics'!D23</ns0:f>
        <ns0:v>260.3619836028241</ns0:v>
      </ns0:c>
      <ns0:c r="V29" s="31">
        <ns0:f>V15*'Unit Economics'!D23</ns0:f>
        <ns0:v>293.9312140127535</ns0:v>
      </ns0:c>
      <ns0:c r="W29" s="31">
        <ns0:f>W15*'Unit Economics'!D23</ns0:f>
        <ns0:v>326.6612136624347</ns0:v>
      </ns0:c>
      <ns0:c r="X29" s="31">
        <ns0:f>X15*'Unit Economics'!D23</ns0:f>
        <ns0:v>358.5729633208738</ns0:v>
      </ns0:c>
      <ns0:c r="Y29" s="31">
        <ns0:f>Y15*'Unit Economics'!D23</ns0:f>
        <ns0:v>389.68691923785195</ns0:v>
      </ns0:c>
      <ns0:c r="Z29" s="31">
        <ns0:f>Z15*'Unit Economics'!D23</ns0:f>
        <ns0:v>420.02302625690567</ns0:v>
      </ns0:c>
    </ns0:row>
    <ns0:row r="30">
      <ns0:c r="A30" s="9" t="inlineStr">
        <ns0:is>
          <ns0:t>Resort COGS</ns0:t>
        </ns0:is>
      </ns0:c>
      <ns0:c r="C30" s="31">
        <ns0:f>C16*'Unit Economics'!E23</ns0:f>
        <ns0:v>0.0</ns0:v>
      </ns0:c>
      <ns0:c r="D30" s="31">
        <ns0:f>D16*'Unit Economics'!E23</ns0:f>
        <ns0:v>0.0</ns0:v>
      </ns0:c>
      <ns0:c r="E30" s="31">
        <ns0:f>E16*'Unit Economics'!E23</ns0:f>
        <ns0:v>0.0</ns0:v>
      </ns0:c>
      <ns0:c r="F30" s="31">
        <ns0:f>F16*'Unit Economics'!E23</ns0:f>
        <ns0:v>0.0</ns0:v>
      </ns0:c>
      <ns0:c r="G30" s="31">
        <ns0:f>G16*'Unit Economics'!E23</ns0:f>
        <ns0:v>0.0</ns0:v>
      </ns0:c>
      <ns0:c r="H30" s="31">
        <ns0:f>H16*'Unit Economics'!E23</ns0:f>
        <ns0:v>0.0</ns0:v>
      </ns0:c>
      <ns0:c r="I30" s="31">
        <ns0:f>I16*'Unit Economics'!E23</ns0:f>
        <ns0:v>0.0</ns0:v>
      </ns0:c>
      <ns0:c r="J30" s="31">
        <ns0:f>J16*'Unit Economics'!E23</ns0:f>
        <ns0:v>0.0</ns0:v>
      </ns0:c>
      <ns0:c r="K30" s="31">
        <ns0:f>K16*'Unit Economics'!E23</ns0:f>
        <ns0:v>0.0</ns0:v>
      </ns0:c>
      <ns0:c r="L30" s="31">
        <ns0:f>L16*'Unit Economics'!E23</ns0:f>
        <ns0:v>0.0</ns0:v>
      </ns0:c>
      <ns0:c r="M30" s="31">
        <ns0:f>M16*'Unit Economics'!E23</ns0:f>
        <ns0:v>0.0</ns0:v>
      </ns0:c>
      <ns0:c r="N30" s="31">
        <ns0:f>N16*'Unit Economics'!E23</ns0:f>
        <ns0:v>0.0</ns0:v>
      </ns0:c>
      <ns0:c r="O30" s="31">
        <ns0:f>O16*'Unit Economics'!E23</ns0:f>
        <ns0:v>0.0</ns0:v>
      </ns0:c>
      <ns0:c r="P30" s="31">
        <ns0:f>P16*'Unit Economics'!E23</ns0:f>
        <ns0:v>0.0</ns0:v>
      </ns0:c>
      <ns0:c r="Q30" s="31">
        <ns0:f>Q16*'Unit Economics'!E23</ns0:f>
        <ns0:v>0.0</ns0:v>
      </ns0:c>
      <ns0:c r="R30" s="31">
        <ns0:f>R16*'Unit Economics'!E23</ns0:f>
        <ns0:v>0.0</ns0:v>
      </ns0:c>
      <ns0:c r="S30" s="31">
        <ns0:f>S16*'Unit Economics'!E23</ns0:f>
        <ns0:v>0.0</ns0:v>
      </ns0:c>
      <ns0:c r="T30" s="31">
        <ns0:f>T16*'Unit Economics'!E23</ns0:f>
        <ns0:v>0.0</ns0:v>
      </ns0:c>
      <ns0:c r="U30" s="31">
        <ns0:f>U16*'Unit Economics'!E23</ns0:f>
        <ns0:v>0.0</ns0:v>
      </ns0:c>
      <ns0:c r="V30" s="31">
        <ns0:f>V16*'Unit Economics'!E23</ns0:f>
        <ns0:v>0.0</ns0:v>
      </ns0:c>
      <ns0:c r="W30" s="31">
        <ns0:f>W16*'Unit Economics'!E23</ns0:f>
        <ns0:v>0.0</ns0:v>
      </ns0:c>
      <ns0:c r="X30" s="31">
        <ns0:f>X16*'Unit Economics'!E23</ns0:f>
        <ns0:v>78.98146666666666</ns0:v>
      </ns0:c>
      <ns0:c r="Y30" s="31">
        <ns0:f>Y16*'Unit Economics'!E23</ns0:f>
        <ns0:v>155.98839666666663</ns0:v>
      </ns0:c>
      <ns0:c r="Z30" s="31">
        <ns0:f>Z16*'Unit Economics'!E23</ns0:f>
        <ns0:v>231.07015341666664</ns0:v>
      </ns0:c>
    </ns0:row>
    <ns0:row r="31">
      <ns0:c r="A31" s="9" t="inlineStr">
        <ns0:is>
          <ns0:t>Group COGS</ns0:t>
        </ns0:is>
      </ns0:c>
      <ns0:c r="C31" s="31">
        <ns0:f>C17*'Unit Economics'!F23</ns0:f>
        <ns0:v>0.0</ns0:v>
      </ns0:c>
      <ns0:c r="D31" s="31">
        <ns0:f>D17*'Unit Economics'!F23</ns0:f>
        <ns0:v>0.0</ns0:v>
      </ns0:c>
      <ns0:c r="E31" s="31">
        <ns0:f>E17*'Unit Economics'!F23</ns0:f>
        <ns0:v>0.0</ns0:v>
      </ns0:c>
      <ns0:c r="F31" s="31">
        <ns0:f>F17*'Unit Economics'!F23</ns0:f>
        <ns0:v>0.0</ns0:v>
      </ns0:c>
      <ns0:c r="G31" s="31">
        <ns0:f>G17*'Unit Economics'!F23</ns0:f>
        <ns0:v>0.0</ns0:v>
      </ns0:c>
      <ns0:c r="H31" s="31">
        <ns0:f>H17*'Unit Economics'!F23</ns0:f>
        <ns0:v>0.0</ns0:v>
      </ns0:c>
      <ns0:c r="I31" s="31">
        <ns0:f>I17*'Unit Economics'!F23</ns0:f>
        <ns0:v>0.0</ns0:v>
      </ns0:c>
      <ns0:c r="J31" s="31">
        <ns0:f>J17*'Unit Economics'!F23</ns0:f>
        <ns0:v>0.0</ns0:v>
      </ns0:c>
      <ns0:c r="K31" s="31">
        <ns0:f>K17*'Unit Economics'!F23</ns0:f>
        <ns0:v>0.0</ns0:v>
      </ns0:c>
      <ns0:c r="L31" s="31">
        <ns0:f>L17*'Unit Economics'!F23</ns0:f>
        <ns0:v>0.0</ns0:v>
      </ns0:c>
      <ns0:c r="M31" s="31">
        <ns0:f>M17*'Unit Economics'!F23</ns0:f>
        <ns0:v>0.0</ns0:v>
      </ns0:c>
      <ns0:c r="N31" s="31">
        <ns0:f>N17*'Unit Economics'!F23</ns0:f>
        <ns0:v>0.0</ns0:v>
      </ns0:c>
      <ns0:c r="O31" s="31">
        <ns0:f>O17*'Unit Economics'!F23</ns0:f>
        <ns0:v>0.0</ns0:v>
      </ns0:c>
      <ns0:c r="P31" s="31">
        <ns0:f>P17*'Unit Economics'!F23</ns0:f>
        <ns0:v>0.0</ns0:v>
      </ns0:c>
      <ns0:c r="Q31" s="31">
        <ns0:f>Q17*'Unit Economics'!F23</ns0:f>
        <ns0:v>0.0</ns0:v>
      </ns0:c>
      <ns0:c r="R31" s="31">
        <ns0:f>R17*'Unit Economics'!F23</ns0:f>
        <ns0:v>136.29386666666664</ns0:v>
      </ns0:c>
      <ns0:c r="S31" s="31">
        <ns0:f>S17*'Unit Economics'!F23</ns0:f>
        <ns0:v>269.1803866666666</ns0:v>
      </ns0:c>
      <ns0:c r="T31" s="31">
        <ns0:f>T17*'Unit Economics'!F23</ns0:f>
        <ns0:v>398.74474366666664</ns0:v>
      </ns0:c>
      <ns0:c r="U31" s="31">
        <ns0:f>U17*'Unit Economics'!F23</ns0:f>
        <ns0:v>388.776125075</ns0:v>
      </ns0:c>
      <ns0:c r="V31" s="31">
        <ns0:f>V17*'Unit Economics'!F23</ns0:f>
        <ns0:v>379.0567219481249</ns0:v>
      </ns0:c>
      <ns0:c r="W31" s="31">
        <ns0:f>W17*'Unit Economics'!F23</ns0:f>
        <ns0:v>369.58030389942184</ns0:v>
      </ns0:c>
      <ns0:c r="X31" s="31">
        <ns0:f>X17*'Unit Economics'!F23</ns0:f>
        <ns0:v>360.3407963019363</ns0:v>
      </ns0:c>
      <ns0:c r="Y31" s="31">
        <ns0:f>Y17*'Unit Economics'!F23</ns0:f>
        <ns0:v>351.33227639438786</ns0:v>
      </ns0:c>
      <ns0:c r="Z31" s="31">
        <ns0:f>Z17*'Unit Economics'!F23</ns0:f>
        <ns0:v>342.54896948452813</ns0:v>
      </ns0:c>
    </ns0:row>
    <ns0:row r="32">
      <ns0:c r="A32" s="26" t="inlineStr">
        <ns0:is>
          <ns0:t>Total COGS</ns0:t>
        </ns0:is>
      </ns0:c>
      <ns0:c r="C32" s="19">
        <ns0:f>SUM(C27:C30)+C31</ns0:f>
        <ns0:v>19.688789333333332</ns0:v>
      </ns0:c>
      <ns0:c r="D32" s="19">
        <ns0:f>SUM(D27:D30)+D31</ns0:f>
        <ns0:v>38.88535893333332</ns0:v>
      </ns0:c>
      <ns0:c r="E32" s="19">
        <ns0:f>SUM(E27:E30)+E31</ns0:f>
        <ns0:v>57.602014293333326</ns0:v>
      </ns0:c>
      <ns0:c r="F32" s="19">
        <ns0:f>SUM(F27:F30)+F31</ns0:f>
        <ns0:v>108.64616941866666</ns0:v>
      </ns0:c>
      <ns0:c r="G32" s="19">
        <ns0:f>SUM(G27:G30)+G31</ns0:f>
        <ns0:v>158.41422066586665</ns0:v>
      </ns0:c>
      <ns0:c r="H32" s="19">
        <ns0:f>SUM(H27:H30)+H31</ns0:f>
        <ns0:v>206.93807063188663</ns0:v>
      </ns0:c>
      <ns0:c r="I32" s="19">
        <ns0:f>SUM(I27:I30)+I31</ns0:f>
        <ns0:v>254.24882434875613</ns0:v>
      </ns0:c>
      <ns0:c r="J32" s="19">
        <ns0:f>SUM(J27:J30)+J31</ns0:f>
        <ns0:v>300.37680922270386</ns0:v>
      </ns0:c>
      <ns0:c r="K32" s="19">
        <ns0:f>SUM(K27:K30)+K31</ns0:f>
        <ns0:v>345.35159447480294</ns0:v>
      </ns0:c>
      <ns0:c r="L32" s="19">
        <ns0:f>SUM(L27:L30)+L31</ns0:f>
        <ns0:v>408.89079942893284</ns0:v>
      </ns0:c>
      <ns0:c r="M32" s="19">
        <ns0:f>SUM(M27:M30)+M31</ns0:f>
        <ns0:v>470.8415242592095</ns0:v>
      </ns0:c>
      <ns0:c r="N32" s="19">
        <ns0:f>SUM(N27:N30)+N31</ns0:f>
        <ns0:v>531.2434809687293</ns0:v>
      </ns0:c>
      <ns0:c r="O32" s="19">
        <ns0:f>SUM(O27:O30)+O31</ns0:f>
        <ns0:v>610.5248794271777</ns0:v>
      </ns0:c>
      <ns0:c r="P32" s="19">
        <ns0:f>SUM(P27:P30)+P31</ns0:f>
        <ns0:v>687.8242429241649</ns0:v>
      </ns0:c>
      <ns0:c r="Q32" s="19">
        <ns0:f>SUM(Q27:Q30)+Q31</ns0:f>
        <ns0:v>763.1911223337274</ns0:v>
      </ns0:c>
      <ns0:c r="R32" s="19">
        <ns0:f>SUM(R27:R30)+R31</ns0:f>
        <ns0:v>972.9676964247176</ns0:v>
      </ns0:c>
      <ns0:c r="S32" s="19">
        <ns0:f>SUM(S27:S30)+S31</ns0:f>
        <ns0:v>1177.499856163433</ns0:v>
      </ns0:c>
      <ns0:c r="T32" s="19">
        <ns0:f>SUM(T27:T30)+T31</ns0:f>
        <ns0:v>1376.91871190868</ns0:v>
      </ns0:c>
      <ns0:c r="U32" s="19">
        <ns0:f>SUM(U27:U30)+U31</ns0:f>
        <ns0:v>1435.0582295936297</ns0:v>
      </ns0:c>
      <ns0:c r="V32" s="19">
        <ns0:f>SUM(V27:V30)+V31</ns0:f>
        <ns0:v>1491.7442593364556</ns0:v>
      </ns0:c>
      <ns0:c r="W32" s="19">
        <ns0:f>SUM(W27:W30)+W31</ns0:f>
        <ns0:v>1547.013138335711</ns0:v>
      </ns0:c>
      <ns0:c r="X32" s="19">
        <ns0:f>SUM(X27:X30)+X31</ns0:f>
        <ns0:v>1679.8817620266514</ns0:v>
      </ns0:c>
      <ns0:c r="Y32" s="19">
        <ns0:f>SUM(Y27:Y30)+Y31</ns0:f>
        <ns0:v>1809.4286701253184</ns0:v>
      </ns0:c>
      <ns0:c r="Z32" s="19">
        <ns0:f>SUM(Z27:Z30)+Z31</ns0:f>
        <ns0:v>1935.736905521519</ns0:v>
      </ns0:c>
    </ns0:row>
    <ns0:row r="33">
      <ns0:c r="A33" s="26" t="inlineStr">
        <ns0:is>
          <ns0:t>Gross profit</ns0:t>
        </ns0:is>
      </ns0:c>
      <ns0:c r="C33" s="33">
        <ns0:f>C25-C32</ns0:f>
        <ns0:v>79.97787733333332</ns0:v>
      </ns0:c>
      <ns0:c r="D33" s="33">
        <ns0:f>D25-D32</ns0:f>
        <ns0:v>157.95630773333332</ns0:v>
      </ns0:c>
      <ns0:c r="E33" s="33">
        <ns0:f>E25-E32</ns0:f>
        <ns0:v>233.98527737333333</ns0:v>
      </ns0:c>
      <ns0:c r="F33" s="33">
        <ns0:f>F25-F32</ns0:f>
        <ns0:v>441.31810662300006</ns0:v>
      </ns0:c>
      <ns0:c r="G33" s="33">
        <ns0:f>G25-G32</ns0:f>
        <ns0:v>643.467615141425</ns0:v>
      </ns0:c>
      <ns0:c r="H33" s="33">
        <ns0:f>H25-H32</ns0:f>
        <ns0:v>840.5633859468894</ns0:v>
      </ns0:c>
      <ns0:c r="I33" s="33">
        <ns0:f>I25-I32</ns0:f>
        <ns0:v>1032.731762482217</ns0:v>
      </ns0:c>
      <ns0:c r="J33" s="33">
        <ns0:f>J25-J32</ns0:f>
        <ns0:v>1220.0959296041615</ns0:v>
      </ns0:c>
      <ns0:c r="K33" s="33">
        <ns0:f>K25-K32</ns0:f>
        <ns0:v>1402.7759925480573</ns0:v>
      </ns0:c>
      <ns0:c r="L33" s="33">
        <ns0:f>L25-L32</ns0:f>
        <ns0:v>1660.866931251689</ns0:v>
      </ns0:c>
      <ns0:c r="M33" s="33">
        <ns0:f>M25-M32</ns0:f>
        <ns0:v>1912.5055964877301</ns0:v>
      </ns0:c>
      <ns0:c r="N33" s="33">
        <ns0:f>N25-N32</ns0:f>
        <ns0:v>2157.8532950928707</ns0:v>
      </ns0:c>
      <ns0:c r="O33" s="33">
        <ns0:f>O25-O32</ns0:f>
        <ns0:v>2476.677810566215</ns0:v>
      </ns0:c>
      <ns0:c r="P33" s="33">
        <ns0:f>P25-P32</ns0:f>
        <ns0:v>2787.5317131527268</ns0:v>
      </ns0:c>
      <ns0:c r="Q33" s="33">
        <ns0:f>Q25-Q32</ns0:f>
        <ns0:v>3090.614268174575</ns0:v>
      </ns0:c>
      <ns0:c r="R33" s="33">
        <ns0:f>R25-R32</ns0:f>
        <ns0:v>4175.642559320878</ns0:v>
      </ns0:c>
      <ns0:c r="S33" s="33">
        <ns0:f>S25-S32</ns0:f>
        <ns0:v>5233.545143188521</ns0:v>
      </ns0:c>
      <ns0:c r="T33" s="33">
        <ns0:f>T25-T32</ns0:f>
        <ns0:v>6265.000162459475</ns0:v>
      </ns0:c>
      <ns0:c r="U33" s="33">
        <ns0:f>U25-U32</ns0:f>
        <ns0:v>6481.146006248655</ns0:v>
      </ns0:c>
      <ns0:c r="V33" s="33">
        <ns0:f>V25-V32</ns0:f>
        <ns0:v>6691.888203943105</ns0:v>
      </ns0:c>
      <ns0:c r="W33" s="33">
        <ns0:f>W25-W32</ns0:f>
        <ns0:v>6897.361846695192</ns0:v>
      </ns0:c>
      <ns0:c r="X33" s="33">
        <ns0:f>X25-X32</ns0:f>
        <ns0:v>7385.050515045148</ns0:v>
      </ns0:c>
      <ns0:c r="Y33" s="33">
        <ns0:f>Y25-Y32</ns0:f>
        <ns0:v>7860.54696668635</ns0:v>
      </ns0:c>
      <ns0:c r="Z33" s="33">
        <ns0:f>Z25-Z32</ns0:f>
        <ns0:v>8324.156007036525</ns0:v>
      </ns0:c>
    </ns0:row>
    <ns0:row r="34">
      <ns0:c r="A34" s="26" t="inlineStr">
        <ns0:is>
          <ns0:t>Gross margin %</ns0:t>
        </ns0:is>
      </ns0:c>
      <ns0:c r="C34" s="56">
        <ns0:f>IF(C25=0,0,C33/C25)</ns0:f>
        <ns0:v>0.8024536187290969</ns0:v>
      </ns0:c>
      <ns0:c r="D34" s="56">
        <ns0:f>IF(D25=0,0,D33/D25)</ns0:f>
        <ns0:v>0.802453618729097</ns0:v>
      </ns0:c>
      <ns0:c r="E34" s="56">
        <ns0:f>IF(E25=0,0,E33/E25)</ns0:f>
        <ns0:v>0.802453618729097</ns0:v>
      </ns0:c>
      <ns0:c r="F34" s="56">
        <ns0:f>IF(F25=0,0,F33/F25)</ns0:f>
        <ns0:v>0.8024486786657479</ns0:v>
      </ns0:c>
      <ns0:c r="G34" s="56">
        <ns0:f>IF(G25=0,0,G33/G25)</ns0:f>
        <ns0:v>0.8024469272254013</ns0:v>
      </ns0:c>
      <ns0:c r="H34" s="56">
        <ns0:f>IF(H25=0,0,H33/H25)</ns0:f>
        <ns0:v>0.80244603066447</ns0:v>
      </ns0:c>
      <ns0:c r="I34" s="56">
        <ns0:f>IF(I25=0,0,I33/I25)</ns0:f>
        <ns0:v>0.8024454860078256</ns0:v>
      </ns0:c>
      <ns0:c r="J34" s="56">
        <ns0:f>IF(J25=0,0,J33/J25)</ns0:f>
        <ns0:v>0.8024451201575227</ns0:v>
      </ns0:c>
      <ns0:c r="K34" s="56">
        <ns0:f>IF(K25=0,0,K33/K25)</ns0:f>
        <ns0:v>0.8024448575501562</ns0:v>
      </ns0:c>
      <ns0:c r="L34" s="56">
        <ns0:f>IF(L25=0,0,L33/L25)</ns0:f>
        <ns0:v>0.8024450913419356</ns0:v>
      </ns0:c>
      <ns0:c r="M34" s="56">
        <ns0:f>IF(M25=0,0,M33/M25)</ns0:f>
        <ns0:v>0.8024452585355473</ns0:v>
      </ns0:c>
      <ns0:c r="N34" s="56">
        <ns0:f>IF(N25=0,0,N33/N25)</ns0:f>
        <ns0:v>0.8024453840048188</ns0:v>
      </ns0:c>
      <ns0:c r="O34" s="56">
        <ns0:f>IF(O25=0,0,O33/O25)</ns0:f>
        <ns0:v>0.8022401051262091</ns0:v>
      </ns0:c>
      <ns0:c r="P34" s="56">
        <ns0:f>IF(P25=0,0,P33/P25)</ns0:f>
        <ns0:v>0.80208523914753</ns0:v>
      </ns0:c>
      <ns0:c r="Q34" s="56">
        <ns0:f>IF(Q25=0,0,Q33/Q25)</ns0:f>
        <ns0:v>0.801964280756516</ns0:v>
      </ns0:c>
      <ns0:c r="R34" s="56">
        <ns0:f>IF(R25=0,0,R33/R25)</ns0:f>
        <ns0:v>0.8110232377098396</ns0:v>
      </ns0:c>
      <ns0:c r="S34" s="56">
        <ns0:f>IF(S25=0,0,S33/S25)</ns0:f>
        <ns0:v>0.816332617181371</ns0:v>
      </ns0:c>
      <ns0:c r="T34" s="56">
        <ns0:f>IF(T25=0,0,T33/T25)</ns0:f>
        <ns0:v>0.8198202919260216</ns0:v>
      </ns0:c>
      <ns0:c r="U34" s="56">
        <ns0:f>IF(U25=0,0,U33/U25)</ns0:f>
        <ns0:v>0.8187188977393862</ns0:v>
      </ns0:c>
      <ns0:c r="V34" s="56">
        <ns0:f>IF(V25=0,0,V33/V25)</ns0:f>
        <ns0:v>0.8177161222684426</ns0:v>
      </ns0:c>
      <ns0:c r="W34" s="56">
        <ns0:f>IF(W25=0,0,W33/W25)</ns0:f>
        <ns0:v>0.816799568816158</ns0:v>
      </ns0:c>
      <ns0:c r="X34" s="56">
        <ns0:f>IF(X25=0,0,X33/X25)</ns0:f>
        <ns0:v>0.8146834735571467</ns0:v>
      </ns0:c>
      <ns0:c r="Y34" s="56">
        <ns0:f>IF(Y25=0,0,Y33/Y25)</ns0:f>
        <ns0:v>0.8128817757061161</ns0:v>
      </ns0:c>
      <ns0:c r="Z34" s="56">
        <ns0:f>IF(Z25=0,0,Z33/Z25)</ns0:f>
        <ns0:v>0.8113297163996528</ns0:v>
      </ns0:c>
    </ns0:row>
    <ns0:row r="35" ht="20" customHeight="1">
      <ns0:c r="A35" s="8" t="inlineStr">
        <ns0:is>
          <ns0:t>Operating costs</ns0:t>
        </ns0:is>
      </ns0:c>
    </ns0:row>
    <ns0:row r="36">
      <ns0:c r="A36" s="9" t="inlineStr">
        <ns0:is>
          <ns0:t>Founder 1</ns0:t>
        </ns0:is>
      </ns0:c>
      <ns0:c r="C36" s="31">
        <ns0:f>Inputs!$B$61</ns0:f>
        <ns0:v>2500</ns0:v>
      </ns0:c>
      <ns0:c r="D36" s="31">
        <ns0:f>Inputs!$B$61</ns0:f>
        <ns0:v>2500</ns0:v>
      </ns0:c>
      <ns0:c r="E36" s="31">
        <ns0:f>Inputs!$B$61</ns0:f>
        <ns0:v>2500</ns0:v>
      </ns0:c>
      <ns0:c r="F36" s="31">
        <ns0:f>Inputs!$B$61</ns0:f>
        <ns0:v>2500</ns0:v>
      </ns0:c>
      <ns0:c r="G36" s="31">
        <ns0:f>Inputs!$B$61</ns0:f>
        <ns0:v>2500</ns0:v>
      </ns0:c>
      <ns0:c r="H36" s="31">
        <ns0:f>Inputs!$B$61</ns0:f>
        <ns0:v>2500</ns0:v>
      </ns0:c>
      <ns0:c r="I36" s="31">
        <ns0:f>Inputs!$B$61</ns0:f>
        <ns0:v>2500</ns0:v>
      </ns0:c>
      <ns0:c r="J36" s="31">
        <ns0:f>Inputs!$B$61</ns0:f>
        <ns0:v>2500</ns0:v>
      </ns0:c>
      <ns0:c r="K36" s="31">
        <ns0:f>Inputs!$B$61</ns0:f>
        <ns0:v>2500</ns0:v>
      </ns0:c>
      <ns0:c r="L36" s="31">
        <ns0:f>Inputs!$B$61</ns0:f>
        <ns0:v>2500</ns0:v>
      </ns0:c>
      <ns0:c r="M36" s="31">
        <ns0:f>Inputs!$B$61</ns0:f>
        <ns0:v>2500</ns0:v>
      </ns0:c>
      <ns0:c r="N36" s="31">
        <ns0:f>Inputs!$B$61</ns0:f>
        <ns0:v>2500</ns0:v>
      </ns0:c>
      <ns0:c r="O36" s="31">
        <ns0:f>Inputs!$B$61</ns0:f>
        <ns0:v>2500</ns0:v>
      </ns0:c>
      <ns0:c r="P36" s="31">
        <ns0:f>Inputs!$B$61</ns0:f>
        <ns0:v>2500</ns0:v>
      </ns0:c>
      <ns0:c r="Q36" s="31">
        <ns0:f>Inputs!$B$61</ns0:f>
        <ns0:v>2500</ns0:v>
      </ns0:c>
      <ns0:c r="R36" s="31">
        <ns0:f>Inputs!$B$61</ns0:f>
        <ns0:v>2500</ns0:v>
      </ns0:c>
      <ns0:c r="S36" s="31">
        <ns0:f>Inputs!$B$61</ns0:f>
        <ns0:v>2500</ns0:v>
      </ns0:c>
      <ns0:c r="T36" s="31">
        <ns0:f>Inputs!$B$61</ns0:f>
        <ns0:v>2500</ns0:v>
      </ns0:c>
      <ns0:c r="U36" s="31">
        <ns0:f>Inputs!$B$61</ns0:f>
        <ns0:v>2500</ns0:v>
      </ns0:c>
      <ns0:c r="V36" s="31">
        <ns0:f>Inputs!$B$61</ns0:f>
        <ns0:v>2500</ns0:v>
      </ns0:c>
      <ns0:c r="W36" s="31">
        <ns0:f>Inputs!$B$61</ns0:f>
        <ns0:v>2500</ns0:v>
      </ns0:c>
      <ns0:c r="X36" s="31">
        <ns0:f>Inputs!$B$61</ns0:f>
        <ns0:v>2500</ns0:v>
      </ns0:c>
      <ns0:c r="Y36" s="31">
        <ns0:f>Inputs!$B$61</ns0:f>
        <ns0:v>2500</ns0:v>
      </ns0:c>
      <ns0:c r="Z36" s="31">
        <ns0:f>Inputs!$B$61</ns0:f>
        <ns0:v>2500</ns0:v>
      </ns0:c>
    </ns0:row>
    <ns0:row r="37">
      <ns0:c r="A37" s="9" t="inlineStr">
        <ns0:is>
          <ns0:t>Founder 2</ns0:t>
        </ns0:is>
      </ns0:c>
      <ns0:c r="C37" s="31">
        <ns0:f>Inputs!$B$62</ns0:f>
        <ns0:v>0</ns0:v>
      </ns0:c>
      <ns0:c r="D37" s="31">
        <ns0:f>Inputs!$B$62</ns0:f>
        <ns0:v>0</ns0:v>
      </ns0:c>
      <ns0:c r="E37" s="31">
        <ns0:f>Inputs!$B$62</ns0:f>
        <ns0:v>0</ns0:v>
      </ns0:c>
      <ns0:c r="F37" s="31">
        <ns0:f>Inputs!$B$62</ns0:f>
        <ns0:v>0</ns0:v>
      </ns0:c>
      <ns0:c r="G37" s="31">
        <ns0:f>Inputs!$B$62</ns0:f>
        <ns0:v>0</ns0:v>
      </ns0:c>
      <ns0:c r="H37" s="31">
        <ns0:f>Inputs!$B$62</ns0:f>
        <ns0:v>0</ns0:v>
      </ns0:c>
      <ns0:c r="I37" s="31">
        <ns0:f>Inputs!$B$62</ns0:f>
        <ns0:v>0</ns0:v>
      </ns0:c>
      <ns0:c r="J37" s="31">
        <ns0:f>Inputs!$B$62</ns0:f>
        <ns0:v>0</ns0:v>
      </ns0:c>
      <ns0:c r="K37" s="31">
        <ns0:f>Inputs!$B$62</ns0:f>
        <ns0:v>0</ns0:v>
      </ns0:c>
      <ns0:c r="L37" s="31">
        <ns0:f>Inputs!$B$62</ns0:f>
        <ns0:v>0</ns0:v>
      </ns0:c>
      <ns0:c r="M37" s="31">
        <ns0:f>Inputs!$B$62</ns0:f>
        <ns0:v>0</ns0:v>
      </ns0:c>
      <ns0:c r="N37" s="31">
        <ns0:f>Inputs!$B$62</ns0:f>
        <ns0:v>0</ns0:v>
      </ns0:c>
      <ns0:c r="O37" s="31">
        <ns0:f>Inputs!$B$62</ns0:f>
        <ns0:v>0</ns0:v>
      </ns0:c>
      <ns0:c r="P37" s="31">
        <ns0:f>Inputs!$B$62</ns0:f>
        <ns0:v>0</ns0:v>
      </ns0:c>
      <ns0:c r="Q37" s="31">
        <ns0:f>Inputs!$B$62</ns0:f>
        <ns0:v>0</ns0:v>
      </ns0:c>
      <ns0:c r="R37" s="31">
        <ns0:f>Inputs!$B$62</ns0:f>
        <ns0:v>0</ns0:v>
      </ns0:c>
      <ns0:c r="S37" s="31">
        <ns0:f>Inputs!$B$62</ns0:f>
        <ns0:v>0</ns0:v>
      </ns0:c>
      <ns0:c r="T37" s="31">
        <ns0:f>Inputs!$B$62</ns0:f>
        <ns0:v>0</ns0:v>
      </ns0:c>
      <ns0:c r="U37" s="31">
        <ns0:f>Inputs!$B$62</ns0:f>
        <ns0:v>0</ns0:v>
      </ns0:c>
      <ns0:c r="V37" s="31">
        <ns0:f>Inputs!$B$62</ns0:f>
        <ns0:v>0</ns0:v>
      </ns0:c>
      <ns0:c r="W37" s="31">
        <ns0:f>Inputs!$B$62</ns0:f>
        <ns0:v>0</ns0:v>
      </ns0:c>
      <ns0:c r="X37" s="31">
        <ns0:f>Inputs!$B$62</ns0:f>
        <ns0:v>0</ns0:v>
      </ns0:c>
      <ns0:c r="Y37" s="31">
        <ns0:f>Inputs!$B$62</ns0:f>
        <ns0:v>0</ns0:v>
      </ns0:c>
      <ns0:c r="Z37" s="31">
        <ns0:f>Inputs!$B$62</ns0:f>
        <ns0:v>0</ns0:v>
      </ns0:c>
    </ns0:row>
    <ns0:row r="38">
      <ns0:c r="A38" s="9" t="inlineStr">
        <ns0:is>
          <ns0:t>Developer</ns0:t>
        </ns0:is>
      </ns0:c>
      <ns0:c r="C38" s="31">
        <ns0:f>Inputs!$B$63</ns0:f>
        <ns0:v>3500</ns0:v>
      </ns0:c>
      <ns0:c r="D38" s="31">
        <ns0:f>Inputs!$B$63</ns0:f>
        <ns0:v>3500</ns0:v>
      </ns0:c>
      <ns0:c r="E38" s="31">
        <ns0:f>Inputs!$B$63</ns0:f>
        <ns0:v>3500</ns0:v>
      </ns0:c>
      <ns0:c r="F38" s="31">
        <ns0:f>Inputs!$B$63</ns0:f>
        <ns0:v>3500</ns0:v>
      </ns0:c>
      <ns0:c r="G38" s="31">
        <ns0:f>Inputs!$B$63</ns0:f>
        <ns0:v>3500</ns0:v>
      </ns0:c>
      <ns0:c r="H38" s="31">
        <ns0:f>Inputs!$B$63</ns0:f>
        <ns0:v>3500</ns0:v>
      </ns0:c>
      <ns0:c r="I38" s="31">
        <ns0:f>Inputs!$B$63</ns0:f>
        <ns0:v>3500</ns0:v>
      </ns0:c>
      <ns0:c r="J38" s="31">
        <ns0:f>Inputs!$B$63</ns0:f>
        <ns0:v>3500</ns0:v>
      </ns0:c>
      <ns0:c r="K38" s="31">
        <ns0:f>Inputs!$B$63</ns0:f>
        <ns0:v>3500</ns0:v>
      </ns0:c>
      <ns0:c r="L38" s="31">
        <ns0:f>Inputs!$B$63</ns0:f>
        <ns0:v>3500</ns0:v>
      </ns0:c>
      <ns0:c r="M38" s="31">
        <ns0:f>Inputs!$B$63</ns0:f>
        <ns0:v>3500</ns0:v>
      </ns0:c>
      <ns0:c r="N38" s="31">
        <ns0:f>Inputs!$B$63</ns0:f>
        <ns0:v>3500</ns0:v>
      </ns0:c>
      <ns0:c r="O38" s="31">
        <ns0:f>Inputs!$B$63</ns0:f>
        <ns0:v>3500</ns0:v>
      </ns0:c>
      <ns0:c r="P38" s="31">
        <ns0:f>Inputs!$B$63</ns0:f>
        <ns0:v>3500</ns0:v>
      </ns0:c>
      <ns0:c r="Q38" s="31">
        <ns0:f>Inputs!$B$63</ns0:f>
        <ns0:v>3500</ns0:v>
      </ns0:c>
      <ns0:c r="R38" s="31">
        <ns0:f>Inputs!$B$63</ns0:f>
        <ns0:v>3500</ns0:v>
      </ns0:c>
      <ns0:c r="S38" s="31">
        <ns0:f>Inputs!$B$63</ns0:f>
        <ns0:v>3500</ns0:v>
      </ns0:c>
      <ns0:c r="T38" s="31">
        <ns0:f>Inputs!$B$63</ns0:f>
        <ns0:v>3500</ns0:v>
      </ns0:c>
      <ns0:c r="U38" s="31">
        <ns0:f>Inputs!$B$63</ns0:f>
        <ns0:v>3500</ns0:v>
      </ns0:c>
      <ns0:c r="V38" s="31">
        <ns0:f>Inputs!$B$63</ns0:f>
        <ns0:v>3500</ns0:v>
      </ns0:c>
      <ns0:c r="W38" s="31">
        <ns0:f>Inputs!$B$63</ns0:f>
        <ns0:v>3500</ns0:v>
      </ns0:c>
      <ns0:c r="X38" s="31">
        <ns0:f>Inputs!$B$63</ns0:f>
        <ns0:v>3500</ns0:v>
      </ns0:c>
      <ns0:c r="Y38" s="31">
        <ns0:f>Inputs!$B$63</ns0:f>
        <ns0:v>3500</ns0:v>
      </ns0:c>
      <ns0:c r="Z38" s="31">
        <ns0:f>Inputs!$B$63</ns0:f>
        <ns0:v>3500</ns0:v>
      </ns0:c>
    </ns0:row>
    <ns0:row r="39">
      <ns0:c r="A39" s="9" t="inlineStr">
        <ns0:is>
          <ns0:t>Second developer</ns0:t>
        </ns0:is>
      </ns0:c>
      <ns0:c r="C39" s="31">
        <ns0:f>IF(1&gt;=Inputs!$B$64,Inputs!$B$65,0)</ns0:f>
        <ns0:v>0</ns0:v>
      </ns0:c>
      <ns0:c r="D39" s="31">
        <ns0:f>IF(2&gt;=Inputs!$B$64,Inputs!$B$65,0)</ns0:f>
        <ns0:v>0</ns0:v>
      </ns0:c>
      <ns0:c r="E39" s="31">
        <ns0:f>IF(3&gt;=Inputs!$B$64,Inputs!$B$65,0)</ns0:f>
        <ns0:v>0</ns0:v>
      </ns0:c>
      <ns0:c r="F39" s="31">
        <ns0:f>IF(4&gt;=Inputs!$B$64,Inputs!$B$65,0)</ns0:f>
        <ns0:v>0</ns0:v>
      </ns0:c>
      <ns0:c r="G39" s="31">
        <ns0:f>IF(5&gt;=Inputs!$B$64,Inputs!$B$65,0)</ns0:f>
        <ns0:v>0</ns0:v>
      </ns0:c>
      <ns0:c r="H39" s="31">
        <ns0:f>IF(6&gt;=Inputs!$B$64,Inputs!$B$65,0)</ns0:f>
        <ns0:v>0</ns0:v>
      </ns0:c>
      <ns0:c r="I39" s="31">
        <ns0:f>IF(7&gt;=Inputs!$B$64,Inputs!$B$65,0)</ns0:f>
        <ns0:v>3500</ns0:v>
      </ns0:c>
      <ns0:c r="J39" s="31">
        <ns0:f>IF(8&gt;=Inputs!$B$64,Inputs!$B$65,0)</ns0:f>
        <ns0:v>3500</ns0:v>
      </ns0:c>
      <ns0:c r="K39" s="31">
        <ns0:f>IF(9&gt;=Inputs!$B$64,Inputs!$B$65,0)</ns0:f>
        <ns0:v>3500</ns0:v>
      </ns0:c>
      <ns0:c r="L39" s="31">
        <ns0:f>IF(10&gt;=Inputs!$B$64,Inputs!$B$65,0)</ns0:f>
        <ns0:v>3500</ns0:v>
      </ns0:c>
      <ns0:c r="M39" s="31">
        <ns0:f>IF(11&gt;=Inputs!$B$64,Inputs!$B$65,0)</ns0:f>
        <ns0:v>3500</ns0:v>
      </ns0:c>
      <ns0:c r="N39" s="31">
        <ns0:f>IF(12&gt;=Inputs!$B$64,Inputs!$B$65,0)</ns0:f>
        <ns0:v>3500</ns0:v>
      </ns0:c>
      <ns0:c r="O39" s="31">
        <ns0:f>IF(13&gt;=Inputs!$B$64,Inputs!$B$65,0)</ns0:f>
        <ns0:v>3500</ns0:v>
      </ns0:c>
      <ns0:c r="P39" s="31">
        <ns0:f>IF(14&gt;=Inputs!$B$64,Inputs!$B$65,0)</ns0:f>
        <ns0:v>3500</ns0:v>
      </ns0:c>
      <ns0:c r="Q39" s="31">
        <ns0:f>IF(15&gt;=Inputs!$B$64,Inputs!$B$65,0)</ns0:f>
        <ns0:v>3500</ns0:v>
      </ns0:c>
      <ns0:c r="R39" s="31">
        <ns0:f>IF(16&gt;=Inputs!$B$64,Inputs!$B$65,0)</ns0:f>
        <ns0:v>3500</ns0:v>
      </ns0:c>
      <ns0:c r="S39" s="31">
        <ns0:f>IF(17&gt;=Inputs!$B$64,Inputs!$B$65,0)</ns0:f>
        <ns0:v>3500</ns0:v>
      </ns0:c>
      <ns0:c r="T39" s="31">
        <ns0:f>IF(18&gt;=Inputs!$B$64,Inputs!$B$65,0)</ns0:f>
        <ns0:v>3500</ns0:v>
      </ns0:c>
      <ns0:c r="U39" s="31">
        <ns0:f>IF(19&gt;=Inputs!$B$64,Inputs!$B$65,0)</ns0:f>
        <ns0:v>3500</ns0:v>
      </ns0:c>
      <ns0:c r="V39" s="31">
        <ns0:f>IF(20&gt;=Inputs!$B$64,Inputs!$B$65,0)</ns0:f>
        <ns0:v>3500</ns0:v>
      </ns0:c>
      <ns0:c r="W39" s="31">
        <ns0:f>IF(21&gt;=Inputs!$B$64,Inputs!$B$65,0)</ns0:f>
        <ns0:v>3500</ns0:v>
      </ns0:c>
      <ns0:c r="X39" s="31">
        <ns0:f>IF(22&gt;=Inputs!$B$64,Inputs!$B$65,0)</ns0:f>
        <ns0:v>3500</ns0:v>
      </ns0:c>
      <ns0:c r="Y39" s="31">
        <ns0:f>IF(23&gt;=Inputs!$B$64,Inputs!$B$65,0)</ns0:f>
        <ns0:v>3500</ns0:v>
      </ns0:c>
      <ns0:c r="Z39" s="31">
        <ns0:f>IF(24&gt;=Inputs!$B$64,Inputs!$B$65,0)</ns0:f>
        <ns0:v>3500</ns0:v>
      </ns0:c>
    </ns0:row>
    <ns0:row r="40">
      <ns0:c r="A40" s="9" t="inlineStr">
        <ns0:is>
          <ns0:t>Support / content ops</ns0:t>
        </ns0:is>
      </ns0:c>
      <ns0:c r="C40" s="31">
        <ns0:f>IF(1&gt;=Inputs!$B$66,Inputs!$B$67,0)</ns0:f>
        <ns0:v>0</ns0:v>
      </ns0:c>
      <ns0:c r="D40" s="31">
        <ns0:f>IF(2&gt;=Inputs!$B$66,Inputs!$B$67,0)</ns0:f>
        <ns0:v>0</ns0:v>
      </ns0:c>
      <ns0:c r="E40" s="31">
        <ns0:f>IF(3&gt;=Inputs!$B$66,Inputs!$B$67,0)</ns0:f>
        <ns0:v>0</ns0:v>
      </ns0:c>
      <ns0:c r="F40" s="31">
        <ns0:f>IF(4&gt;=Inputs!$B$66,Inputs!$B$67,0)</ns0:f>
        <ns0:v>1300</ns0:v>
      </ns0:c>
      <ns0:c r="G40" s="31">
        <ns0:f>IF(5&gt;=Inputs!$B$66,Inputs!$B$67,0)</ns0:f>
        <ns0:v>1300</ns0:v>
      </ns0:c>
      <ns0:c r="H40" s="31">
        <ns0:f>IF(6&gt;=Inputs!$B$66,Inputs!$B$67,0)</ns0:f>
        <ns0:v>1300</ns0:v>
      </ns0:c>
      <ns0:c r="I40" s="31">
        <ns0:f>IF(7&gt;=Inputs!$B$66,Inputs!$B$67,0)</ns0:f>
        <ns0:v>1300</ns0:v>
      </ns0:c>
      <ns0:c r="J40" s="31">
        <ns0:f>IF(8&gt;=Inputs!$B$66,Inputs!$B$67,0)</ns0:f>
        <ns0:v>1300</ns0:v>
      </ns0:c>
      <ns0:c r="K40" s="31">
        <ns0:f>IF(9&gt;=Inputs!$B$66,Inputs!$B$67,0)</ns0:f>
        <ns0:v>1300</ns0:v>
      </ns0:c>
      <ns0:c r="L40" s="31">
        <ns0:f>IF(10&gt;=Inputs!$B$66,Inputs!$B$67,0)</ns0:f>
        <ns0:v>1300</ns0:v>
      </ns0:c>
      <ns0:c r="M40" s="31">
        <ns0:f>IF(11&gt;=Inputs!$B$66,Inputs!$B$67,0)</ns0:f>
        <ns0:v>1300</ns0:v>
      </ns0:c>
      <ns0:c r="N40" s="31">
        <ns0:f>IF(12&gt;=Inputs!$B$66,Inputs!$B$67,0)</ns0:f>
        <ns0:v>1300</ns0:v>
      </ns0:c>
      <ns0:c r="O40" s="31">
        <ns0:f>IF(13&gt;=Inputs!$B$66,Inputs!$B$67,0)</ns0:f>
        <ns0:v>1300</ns0:v>
      </ns0:c>
      <ns0:c r="P40" s="31">
        <ns0:f>IF(14&gt;=Inputs!$B$66,Inputs!$B$67,0)</ns0:f>
        <ns0:v>1300</ns0:v>
      </ns0:c>
      <ns0:c r="Q40" s="31">
        <ns0:f>IF(15&gt;=Inputs!$B$66,Inputs!$B$67,0)</ns0:f>
        <ns0:v>1300</ns0:v>
      </ns0:c>
      <ns0:c r="R40" s="31">
        <ns0:f>IF(16&gt;=Inputs!$B$66,Inputs!$B$67,0)</ns0:f>
        <ns0:v>1300</ns0:v>
      </ns0:c>
      <ns0:c r="S40" s="31">
        <ns0:f>IF(17&gt;=Inputs!$B$66,Inputs!$B$67,0)</ns0:f>
        <ns0:v>1300</ns0:v>
      </ns0:c>
      <ns0:c r="T40" s="31">
        <ns0:f>IF(18&gt;=Inputs!$B$66,Inputs!$B$67,0)</ns0:f>
        <ns0:v>1300</ns0:v>
      </ns0:c>
      <ns0:c r="U40" s="31">
        <ns0:f>IF(19&gt;=Inputs!$B$66,Inputs!$B$67,0)</ns0:f>
        <ns0:v>1300</ns0:v>
      </ns0:c>
      <ns0:c r="V40" s="31">
        <ns0:f>IF(20&gt;=Inputs!$B$66,Inputs!$B$67,0)</ns0:f>
        <ns0:v>1300</ns0:v>
      </ns0:c>
      <ns0:c r="W40" s="31">
        <ns0:f>IF(21&gt;=Inputs!$B$66,Inputs!$B$67,0)</ns0:f>
        <ns0:v>1300</ns0:v>
      </ns0:c>
      <ns0:c r="X40" s="31">
        <ns0:f>IF(22&gt;=Inputs!$B$66,Inputs!$B$67,0)</ns0:f>
        <ns0:v>1300</ns0:v>
      </ns0:c>
      <ns0:c r="Y40" s="31">
        <ns0:f>IF(23&gt;=Inputs!$B$66,Inputs!$B$67,0)</ns0:f>
        <ns0:v>1300</ns0:v>
      </ns0:c>
      <ns0:c r="Z40" s="31">
        <ns0:f>IF(24&gt;=Inputs!$B$66,Inputs!$B$67,0)</ns0:f>
        <ns0:v>1300</ns0:v>
      </ns0:c>
    </ns0:row>
    <ns0:row r="41">
      <ns0:c r="A41" s="9" t="inlineStr">
        <ns0:is>
          <ns0:t>Tools</ns0:t>
        </ns0:is>
      </ns0:c>
      <ns0:c r="C41" s="31">
        <ns0:f>Inputs!$B$68</ns0:f>
        <ns0:v>400</ns0:v>
      </ns0:c>
      <ns0:c r="D41" s="31">
        <ns0:f>Inputs!$B$68</ns0:f>
        <ns0:v>400</ns0:v>
      </ns0:c>
      <ns0:c r="E41" s="31">
        <ns0:f>Inputs!$B$68</ns0:f>
        <ns0:v>400</ns0:v>
      </ns0:c>
      <ns0:c r="F41" s="31">
        <ns0:f>Inputs!$B$68</ns0:f>
        <ns0:v>400</ns0:v>
      </ns0:c>
      <ns0:c r="G41" s="31">
        <ns0:f>Inputs!$B$68</ns0:f>
        <ns0:v>400</ns0:v>
      </ns0:c>
      <ns0:c r="H41" s="31">
        <ns0:f>Inputs!$B$68</ns0:f>
        <ns0:v>400</ns0:v>
      </ns0:c>
      <ns0:c r="I41" s="31">
        <ns0:f>Inputs!$B$68</ns0:f>
        <ns0:v>400</ns0:v>
      </ns0:c>
      <ns0:c r="J41" s="31">
        <ns0:f>Inputs!$B$68</ns0:f>
        <ns0:v>400</ns0:v>
      </ns0:c>
      <ns0:c r="K41" s="31">
        <ns0:f>Inputs!$B$68</ns0:f>
        <ns0:v>400</ns0:v>
      </ns0:c>
      <ns0:c r="L41" s="31">
        <ns0:f>Inputs!$B$68</ns0:f>
        <ns0:v>400</ns0:v>
      </ns0:c>
      <ns0:c r="M41" s="31">
        <ns0:f>Inputs!$B$68</ns0:f>
        <ns0:v>400</ns0:v>
      </ns0:c>
      <ns0:c r="N41" s="31">
        <ns0:f>Inputs!$B$68</ns0:f>
        <ns0:v>400</ns0:v>
      </ns0:c>
      <ns0:c r="O41" s="31">
        <ns0:f>Inputs!$B$68</ns0:f>
        <ns0:v>400</ns0:v>
      </ns0:c>
      <ns0:c r="P41" s="31">
        <ns0:f>Inputs!$B$68</ns0:f>
        <ns0:v>400</ns0:v>
      </ns0:c>
      <ns0:c r="Q41" s="31">
        <ns0:f>Inputs!$B$68</ns0:f>
        <ns0:v>400</ns0:v>
      </ns0:c>
      <ns0:c r="R41" s="31">
        <ns0:f>Inputs!$B$68</ns0:f>
        <ns0:v>400</ns0:v>
      </ns0:c>
      <ns0:c r="S41" s="31">
        <ns0:f>Inputs!$B$68</ns0:f>
        <ns0:v>400</ns0:v>
      </ns0:c>
      <ns0:c r="T41" s="31">
        <ns0:f>Inputs!$B$68</ns0:f>
        <ns0:v>400</ns0:v>
      </ns0:c>
      <ns0:c r="U41" s="31">
        <ns0:f>Inputs!$B$68</ns0:f>
        <ns0:v>400</ns0:v>
      </ns0:c>
      <ns0:c r="V41" s="31">
        <ns0:f>Inputs!$B$68</ns0:f>
        <ns0:v>400</ns0:v>
      </ns0:c>
      <ns0:c r="W41" s="31">
        <ns0:f>Inputs!$B$68</ns0:f>
        <ns0:v>400</ns0:v>
      </ns0:c>
      <ns0:c r="X41" s="31">
        <ns0:f>Inputs!$B$68</ns0:f>
        <ns0:v>400</ns0:v>
      </ns0:c>
      <ns0:c r="Y41" s="31">
        <ns0:f>Inputs!$B$68</ns0:f>
        <ns0:v>400</ns0:v>
      </ns0:c>
      <ns0:c r="Z41" s="31">
        <ns0:f>Inputs!$B$68</ns0:f>
        <ns0:v>400</ns0:v>
      </ns0:c>
    </ns0:row>
    <ns0:row r="42">
      <ns0:c r="A42" s="9" t="inlineStr">
        <ns0:is>
          <ns0:t>Marketing</ns0:t>
        </ns0:is>
      </ns0:c>
      <ns0:c r="C42" s="31">
        <ns0:f>Inputs!$B$69</ns0:f>
        <ns0:v>800</ns0:v>
      </ns0:c>
      <ns0:c r="D42" s="31">
        <ns0:f>Inputs!$B$69</ns0:f>
        <ns0:v>800</ns0:v>
      </ns0:c>
      <ns0:c r="E42" s="31">
        <ns0:f>Inputs!$B$69</ns0:f>
        <ns0:v>800</ns0:v>
      </ns0:c>
      <ns0:c r="F42" s="31">
        <ns0:f>Inputs!$B$69</ns0:f>
        <ns0:v>800</ns0:v>
      </ns0:c>
      <ns0:c r="G42" s="31">
        <ns0:f>Inputs!$B$69</ns0:f>
        <ns0:v>800</ns0:v>
      </ns0:c>
      <ns0:c r="H42" s="31">
        <ns0:f>Inputs!$B$69</ns0:f>
        <ns0:v>800</ns0:v>
      </ns0:c>
      <ns0:c r="I42" s="31">
        <ns0:f>Inputs!$B$69</ns0:f>
        <ns0:v>800</ns0:v>
      </ns0:c>
      <ns0:c r="J42" s="31">
        <ns0:f>Inputs!$B$69</ns0:f>
        <ns0:v>800</ns0:v>
      </ns0:c>
      <ns0:c r="K42" s="31">
        <ns0:f>Inputs!$B$69</ns0:f>
        <ns0:v>800</ns0:v>
      </ns0:c>
      <ns0:c r="L42" s="31">
        <ns0:f>Inputs!$B$69</ns0:f>
        <ns0:v>800</ns0:v>
      </ns0:c>
      <ns0:c r="M42" s="31">
        <ns0:f>Inputs!$B$69</ns0:f>
        <ns0:v>800</ns0:v>
      </ns0:c>
      <ns0:c r="N42" s="31">
        <ns0:f>Inputs!$B$69</ns0:f>
        <ns0:v>800</ns0:v>
      </ns0:c>
      <ns0:c r="O42" s="31">
        <ns0:f>Inputs!$B$69</ns0:f>
        <ns0:v>800</ns0:v>
      </ns0:c>
      <ns0:c r="P42" s="31">
        <ns0:f>Inputs!$B$69</ns0:f>
        <ns0:v>800</ns0:v>
      </ns0:c>
      <ns0:c r="Q42" s="31">
        <ns0:f>Inputs!$B$69</ns0:f>
        <ns0:v>800</ns0:v>
      </ns0:c>
      <ns0:c r="R42" s="31">
        <ns0:f>Inputs!$B$69</ns0:f>
        <ns0:v>800</ns0:v>
      </ns0:c>
      <ns0:c r="S42" s="31">
        <ns0:f>Inputs!$B$69</ns0:f>
        <ns0:v>800</ns0:v>
      </ns0:c>
      <ns0:c r="T42" s="31">
        <ns0:f>Inputs!$B$69</ns0:f>
        <ns0:v>800</ns0:v>
      </ns0:c>
      <ns0:c r="U42" s="31">
        <ns0:f>Inputs!$B$69</ns0:f>
        <ns0:v>800</ns0:v>
      </ns0:c>
      <ns0:c r="V42" s="31">
        <ns0:f>Inputs!$B$69</ns0:f>
        <ns0:v>800</ns0:v>
      </ns0:c>
      <ns0:c r="W42" s="31">
        <ns0:f>Inputs!$B$69</ns0:f>
        <ns0:v>800</ns0:v>
      </ns0:c>
      <ns0:c r="X42" s="31">
        <ns0:f>Inputs!$B$69</ns0:f>
        <ns0:v>800</ns0:v>
      </ns0:c>
      <ns0:c r="Y42" s="31">
        <ns0:f>Inputs!$B$69</ns0:f>
        <ns0:v>800</ns0:v>
      </ns0:c>
      <ns0:c r="Z42" s="31">
        <ns0:f>Inputs!$B$69</ns0:f>
        <ns0:v>800</ns0:v>
      </ns0:c>
    </ns0:row>
    <ns0:row r="43">
      <ns0:c r="A43" s="26" t="inlineStr">
        <ns0:is>
          <ns0:t>Total opex</ns0:t>
        </ns0:is>
      </ns0:c>
      <ns0:c r="C43" s="19">
        <ns0:f>SUM(C36:C42)</ns0:f>
        <ns0:v>7200.0</ns0:v>
      </ns0:c>
      <ns0:c r="D43" s="19">
        <ns0:f>SUM(D36:D42)</ns0:f>
        <ns0:v>7200.0</ns0:v>
      </ns0:c>
      <ns0:c r="E43" s="19">
        <ns0:f>SUM(E36:E42)</ns0:f>
        <ns0:v>7200.0</ns0:v>
      </ns0:c>
      <ns0:c r="F43" s="19">
        <ns0:f>SUM(F36:F42)</ns0:f>
        <ns0:v>8500.0</ns0:v>
      </ns0:c>
      <ns0:c r="G43" s="19">
        <ns0:f>SUM(G36:G42)</ns0:f>
        <ns0:v>8500.0</ns0:v>
      </ns0:c>
      <ns0:c r="H43" s="19">
        <ns0:f>SUM(H36:H42)</ns0:f>
        <ns0:v>8500.0</ns0:v>
      </ns0:c>
      <ns0:c r="I43" s="19">
        <ns0:f>SUM(I36:I42)</ns0:f>
        <ns0:v>12000.0</ns0:v>
      </ns0:c>
      <ns0:c r="J43" s="19">
        <ns0:f>SUM(J36:J42)</ns0:f>
        <ns0:v>12000.0</ns0:v>
      </ns0:c>
      <ns0:c r="K43" s="19">
        <ns0:f>SUM(K36:K42)</ns0:f>
        <ns0:v>12000.0</ns0:v>
      </ns0:c>
      <ns0:c r="L43" s="19">
        <ns0:f>SUM(L36:L42)</ns0:f>
        <ns0:v>12000.0</ns0:v>
      </ns0:c>
      <ns0:c r="M43" s="19">
        <ns0:f>SUM(M36:M42)</ns0:f>
        <ns0:v>12000.0</ns0:v>
      </ns0:c>
      <ns0:c r="N43" s="19">
        <ns0:f>SUM(N36:N42)</ns0:f>
        <ns0:v>12000.0</ns0:v>
      </ns0:c>
      <ns0:c r="O43" s="19">
        <ns0:f>SUM(O36:O42)</ns0:f>
        <ns0:v>12000.0</ns0:v>
      </ns0:c>
      <ns0:c r="P43" s="19">
        <ns0:f>SUM(P36:P42)</ns0:f>
        <ns0:v>12000.0</ns0:v>
      </ns0:c>
      <ns0:c r="Q43" s="19">
        <ns0:f>SUM(Q36:Q42)</ns0:f>
        <ns0:v>12000.0</ns0:v>
      </ns0:c>
      <ns0:c r="R43" s="19">
        <ns0:f>SUM(R36:R42)</ns0:f>
        <ns0:v>12000.0</ns0:v>
      </ns0:c>
      <ns0:c r="S43" s="19">
        <ns0:f>SUM(S36:S42)</ns0:f>
        <ns0:v>12000.0</ns0:v>
      </ns0:c>
      <ns0:c r="T43" s="19">
        <ns0:f>SUM(T36:T42)</ns0:f>
        <ns0:v>12000.0</ns0:v>
      </ns0:c>
      <ns0:c r="U43" s="19">
        <ns0:f>SUM(U36:U42)</ns0:f>
        <ns0:v>12000.0</ns0:v>
      </ns0:c>
      <ns0:c r="V43" s="19">
        <ns0:f>SUM(V36:V42)</ns0:f>
        <ns0:v>12000.0</ns0:v>
      </ns0:c>
      <ns0:c r="W43" s="19">
        <ns0:f>SUM(W36:W42)</ns0:f>
        <ns0:v>12000.0</ns0:v>
      </ns0:c>
      <ns0:c r="X43" s="19">
        <ns0:f>SUM(X36:X42)</ns0:f>
        <ns0:v>12000.0</ns0:v>
      </ns0:c>
      <ns0:c r="Y43" s="19">
        <ns0:f>SUM(Y36:Y42)</ns0:f>
        <ns0:v>12000.0</ns0:v>
      </ns0:c>
      <ns0:c r="Z43" s="19">
        <ns0:f>SUM(Z36:Z42)</ns0:f>
        <ns0:v>12000.0</ns0:v>
      </ns0:c>
    </ns0:row>
    <ns0:row r="44" ht="20" customHeight="1">
      <ns0:c r="A44" s="8" t="inlineStr">
        <ns0:is>
          <ns0:t>Bottom line</ns0:t>
        </ns0:is>
      </ns0:c>
    </ns0:row>
    <ns0:row r="45">
      <ns0:c r="A45" s="26" t="inlineStr">
        <ns0:is>
          <ns0:t>EBITDA</ns0:t>
        </ns0:is>
      </ns0:c>
      <ns0:c r="C45" s="33">
        <ns0:f>C33-C43</ns0:f>
        <ns0:v>-7120.022122666666</ns0:v>
      </ns0:c>
      <ns0:c r="D45" s="33">
        <ns0:f>D33-D43</ns0:f>
        <ns0:v>-7042.043692266667</ns0:v>
      </ns0:c>
      <ns0:c r="E45" s="33">
        <ns0:f>E33-E43</ns0:f>
        <ns0:v>-6966.014722626666</ns0:v>
      </ns0:c>
      <ns0:c r="F45" s="33">
        <ns0:f>F33-F43</ns0:f>
        <ns0:v>-8058.681893377</ns0:v>
      </ns0:c>
      <ns0:c r="G45" s="33">
        <ns0:f>G33-G43</ns0:f>
        <ns0:v>-7856.532384858575</ns0:v>
      </ns0:c>
      <ns0:c r="H45" s="33">
        <ns0:f>H33-H43</ns0:f>
        <ns0:v>-7659.436614053111</ns0:v>
      </ns0:c>
      <ns0:c r="I45" s="33">
        <ns0:f>I33-I43</ns0:f>
        <ns0:v>-10967.268237517783</ns0:v>
      </ns0:c>
      <ns0:c r="J45" s="33">
        <ns0:f>J33-J43</ns0:f>
        <ns0:v>-10779.904070395838</ns0:v>
      </ns0:c>
      <ns0:c r="K45" s="33">
        <ns0:f>K33-K43</ns0:f>
        <ns0:v>-10597.224007451943</ns0:v>
      </ns0:c>
      <ns0:c r="L45" s="33">
        <ns0:f>L33-L43</ns0:f>
        <ns0:v>-10339.133068748311</ns0:v>
      </ns0:c>
      <ns0:c r="M45" s="33">
        <ns0:f>M33-M43</ns0:f>
        <ns0:v>-10087.49440351227</ns0:v>
      </ns0:c>
      <ns0:c r="N45" s="33">
        <ns0:f>N33-N43</ns0:f>
        <ns0:v>-9842.146704907129</ns0:v>
      </ns0:c>
      <ns0:c r="O45" s="33">
        <ns0:f>O33-O43</ns0:f>
        <ns0:v>-9523.322189433784</ns0:v>
      </ns0:c>
      <ns0:c r="P45" s="33">
        <ns0:f>P33-P43</ns0:f>
        <ns0:v>-9212.468286847274</ns0:v>
      </ns0:c>
      <ns0:c r="Q45" s="33">
        <ns0:f>Q33-Q43</ns0:f>
        <ns0:v>-8909.385731825425</ns0:v>
      </ns0:c>
      <ns0:c r="R45" s="33">
        <ns0:f>R33-R43</ns0:f>
        <ns0:v>-7824.357440679122</ns0:v>
      </ns0:c>
      <ns0:c r="S45" s="33">
        <ns0:f>S33-S43</ns0:f>
        <ns0:v>-6766.454856811479</ns0:v>
      </ns0:c>
      <ns0:c r="T45" s="33">
        <ns0:f>T33-T43</ns0:f>
        <ns0:v>-5734.999837540525</ns0:v>
      </ns0:c>
      <ns0:c r="U45" s="33">
        <ns0:f>U33-U43</ns0:f>
        <ns0:v>-5518.853993751345</ns0:v>
      </ns0:c>
      <ns0:c r="V45" s="33">
        <ns0:f>V33-V43</ns0:f>
        <ns0:v>-5308.111796056895</ns0:v>
      </ns0:c>
      <ns0:c r="W45" s="33">
        <ns0:f>W33-W43</ns0:f>
        <ns0:v>-5102.638153304808</ns0:v>
      </ns0:c>
      <ns0:c r="X45" s="33">
        <ns0:f>X33-X43</ns0:f>
        <ns0:v>-4614.949484954852</ns0:v>
      </ns0:c>
      <ns0:c r="Y45" s="33">
        <ns0:f>Y33-Y43</ns0:f>
        <ns0:v>-4139.45303331365</ns0:v>
      </ns0:c>
      <ns0:c r="Z45" s="33">
        <ns0:f>Z33-Z43</ns0:f>
        <ns0:v>-3675.843992963475</ns0:v>
      </ns0:c>
    </ns0:row>
    <ns0:row r="46">
      <ns0:c r="A46" s="26" t="inlineStr">
        <ns0:is>
          <ns0:t>Cumulative cash</ns0:t>
        </ns0:is>
      </ns0:c>
      <ns0:c r="C46" s="19">
        <ns0:f>Inputs!$B$73-Inputs!$B$74+C45</ns0:f>
        <ns0:v>96014.97787733334</ns0:v>
      </ns0:c>
      <ns0:c r="D46" s="19">
        <ns0:f>C46+D45</ns0:f>
        <ns0:v>88972.93418506667</ns0:v>
      </ns0:c>
      <ns0:c r="E46" s="19">
        <ns0:f>D46+E45</ns0:f>
        <ns0:v>82006.91946244</ns0:v>
      </ns0:c>
      <ns0:c r="F46" s="19">
        <ns0:f>E46+F45</ns0:f>
        <ns0:v>73948.237569063</ns0:v>
      </ns0:c>
      <ns0:c r="G46" s="19">
        <ns0:f>F46+G45</ns0:f>
        <ns0:v>66091.70518420443</ns0:v>
      </ns0:c>
      <ns0:c r="H46" s="19">
        <ns0:f>G46+H45</ns0:f>
        <ns0:v>58432.26857015132</ns0:v>
      </ns0:c>
      <ns0:c r="I46" s="19">
        <ns0:f>H46+I45</ns0:f>
        <ns0:v>47465.000332633535</ns0:v>
      </ns0:c>
      <ns0:c r="J46" s="19">
        <ns0:f>I46+J45</ns0:f>
        <ns0:v>36685.0962622377</ns0:v>
      </ns0:c>
      <ns0:c r="K46" s="19">
        <ns0:f>J46+K45</ns0:f>
        <ns0:v>26087.872254785754</ns0:v>
      </ns0:c>
      <ns0:c r="L46" s="19">
        <ns0:f>K46+L45</ns0:f>
        <ns0:v>15748.739186037443</ns0:v>
      </ns0:c>
      <ns0:c r="M46" s="19">
        <ns0:f>L46+M45</ns0:f>
        <ns0:v>5661.244782525173</ns0:v>
      </ns0:c>
      <ns0:c r="N46" s="19">
        <ns0:f>M46+N45</ns0:f>
        <ns0:v>-4180.901922381956</ns0:v>
      </ns0:c>
      <ns0:c r="O46" s="19">
        <ns0:f>N46+O45</ns0:f>
        <ns0:v>-13704.22411181574</ns0:v>
      </ns0:c>
      <ns0:c r="P46" s="19">
        <ns0:f>O46+P45</ns0:f>
        <ns0:v>-22916.692398663014</ns0:v>
      </ns0:c>
      <ns0:c r="Q46" s="19">
        <ns0:f>P46+Q45</ns0:f>
        <ns0:v>-31826.078130488437</ns0:v>
      </ns0:c>
      <ns0:c r="R46" s="19">
        <ns0:f>Q46+R45</ns0:f>
        <ns0:v>-39650.43557116756</ns0:v>
      </ns0:c>
      <ns0:c r="S46" s="19">
        <ns0:f>R46+S45</ns0:f>
        <ns0:v>-46416.89042797904</ns0:v>
      </ns0:c>
      <ns0:c r="T46" s="19">
        <ns0:f>S46+T45</ns0:f>
        <ns0:v>-52151.89026551956</ns0:v>
      </ns0:c>
      <ns0:c r="U46" s="19">
        <ns0:f>T46+U45</ns0:f>
        <ns0:v>-57670.74425927091</ns0:v>
      </ns0:c>
      <ns0:c r="V46" s="19">
        <ns0:f>U46+V45</ns0:f>
        <ns0:v>-62978.85605532781</ns0:v>
      </ns0:c>
      <ns0:c r="W46" s="19">
        <ns0:f>V46+W45</ns0:f>
        <ns0:v>-68081.49420863262</ns0:v>
      </ns0:c>
      <ns0:c r="X46" s="19">
        <ns0:f>W46+X45</ns0:f>
        <ns0:v>-72696.44369358747</ns0:v>
      </ns0:c>
      <ns0:c r="Y46" s="19">
        <ns0:f>X46+Y45</ns0:f>
        <ns0:v>-76835.89672690112</ns0:v>
      </ns0:c>
      <ns0:c r="Z46" s="19">
        <ns0:f>Y46+Z45</ns0:f>
        <ns0:v>-80511.7407198646</ns0:v>
      </ns0:c>
    </ns0:row>
    <ns0:row r="47">
      <ns0:c r="A47" s="9" t="inlineStr">
        <ns0:is>
          <ns0:t>Cumulative EBITDA (ex-build)</ns0:t>
        </ns0:is>
      </ns0:c>
      <ns0:c r="C47" s="31">
        <ns0:f>C45</ns0:f>
        <ns0:v>-7120.022122666666</ns0:v>
      </ns0:c>
      <ns0:c r="D47" s="31">
        <ns0:f>C47+D45</ns0:f>
        <ns0:v>-14162.065814933332</ns0:v>
      </ns0:c>
      <ns0:c r="E47" s="31">
        <ns0:f>D47+E45</ns0:f>
        <ns0:v>-21128.08053756</ns0:v>
      </ns0:c>
      <ns0:c r="F47" s="31">
        <ns0:f>E47+F45</ns0:f>
        <ns0:v>-29186.762430937</ns0:v>
      </ns0:c>
      <ns0:c r="G47" s="31">
        <ns0:f>F47+G45</ns0:f>
        <ns0:v>-37043.294815795576</ns0:v>
      </ns0:c>
      <ns0:c r="H47" s="31">
        <ns0:f>G47+H45</ns0:f>
        <ns0:v>-44702.73142984869</ns0:v>
      </ns0:c>
      <ns0:c r="I47" s="31">
        <ns0:f>H47+I45</ns0:f>
        <ns0:v>-55669.99966736647</ns0:v>
      </ns0:c>
      <ns0:c r="J47" s="31">
        <ns0:f>I47+J45</ns0:f>
        <ns0:v>-66449.9037377623</ns0:v>
      </ns0:c>
      <ns0:c r="K47" s="31">
        <ns0:f>J47+K45</ns0:f>
        <ns0:v>-77047.12774521424</ns0:v>
      </ns0:c>
      <ns0:c r="L47" s="31">
        <ns0:f>K47+L45</ns0:f>
        <ns0:v>-87386.26081396255</ns0:v>
      </ns0:c>
      <ns0:c r="M47" s="31">
        <ns0:f>L47+M45</ns0:f>
        <ns0:v>-97473.75521747483</ns0:v>
      </ns0:c>
      <ns0:c r="N47" s="31">
        <ns0:f>M47+N45</ns0:f>
        <ns0:v>-107315.90192238195</ns0:v>
      </ns0:c>
      <ns0:c r="O47" s="31">
        <ns0:f>N47+O45</ns0:f>
        <ns0:v>-116839.22411181574</ns0:v>
      </ns0:c>
      <ns0:c r="P47" s="31">
        <ns0:f>O47+P45</ns0:f>
        <ns0:v>-126051.69239866301</ns0:v>
      </ns0:c>
      <ns0:c r="Q47" s="31">
        <ns0:f>P47+Q45</ns0:f>
        <ns0:v>-134961.07813048843</ns0:v>
      </ns0:c>
      <ns0:c r="R47" s="31">
        <ns0:f>Q47+R45</ns0:f>
        <ns0:v>-142785.43557116756</ns0:v>
      </ns0:c>
      <ns0:c r="S47" s="31">
        <ns0:f>R47+S45</ns0:f>
        <ns0:v>-149551.89042797903</ns0:v>
      </ns0:c>
      <ns0:c r="T47" s="31">
        <ns0:f>S47+T45</ns0:f>
        <ns0:v>-155286.89026551956</ns0:v>
      </ns0:c>
      <ns0:c r="U47" s="31">
        <ns0:f>T47+U45</ns0:f>
        <ns0:v>-160805.7442592709</ns0:v>
      </ns0:c>
      <ns0:c r="V47" s="31">
        <ns0:f>U47+V45</ns0:f>
        <ns0:v>-166113.8560553278</ns0:v>
      </ns0:c>
      <ns0:c r="W47" s="31">
        <ns0:f>V47+W45</ns0:f>
        <ns0:v>-171216.49420863262</ns0:v>
      </ns0:c>
      <ns0:c r="X47" s="31">
        <ns0:f>W47+X45</ns0:f>
        <ns0:v>-175831.44369358747</ns0:v>
      </ns0:c>
      <ns0:c r="Y47" s="31">
        <ns0:f>X47+Y45</ns0:f>
        <ns0:v>-179970.89672690112</ns0:v>
      </ns0:c>
      <ns0:c r="Z47" s="31">
        <ns0:f>Y47+Z45</ns0:f>
        <ns0:v>-183646.74071986458</ns0:v>
      </ns0:c>
    </ns0:row>
    <ns0:row r="48">
      <ns0:c r="A48" s="9" t="inlineStr">
        <ns0:is>
          <ns0:t>ARPU (MRR / property)</ns0:t>
        </ns0:is>
      </ns0:c>
      <ns0:c r="C48" s="35">
        <ns0:f>IF(C18=0,0,C25/C18)</ns0:f>
        <ns0:v>299.0</ns0:v>
      </ns0:c>
      <ns0:c r="D48" s="35">
        <ns0:f>IF(D18=0,0,D25/D18)</ns0:f>
        <ns0:v>299.0</ns0:v>
      </ns0:c>
      <ns0:c r="E48" s="35">
        <ns0:f>IF(E18=0,0,E25/E18)</ns0:f>
        <ns0:v>299.0</ns0:v>
      </ns0:c>
      <ns0:c r="F48" s="35">
        <ns0:f>IF(F18=0,0,F25/F18)</ns0:f>
        <ns0:v>281.9132393027534</ns0:v>
      </ns0:c>
      <ns0:c r="G48" s="35">
        <ns0:f>IF(G18=0,0,G25/G18)</ns0:f>
        <ns0:v>276.31494461925604</ns0:v>
      </ns0:c>
      <ns0:c r="H48" s="35">
        <ns0:f>IF(H18=0,0,H25/H18)</ns0:f>
        <ns0:v>273.53435673387213</ns0:v>
      </ns0:c>
      <ns0:c r="I48" s="35">
        <ns0:f>IF(I18=0,0,I25/I18)</ns0:f>
        <ns0:v>271.8723214360611</ns0:v>
      </ns0:c>
      <ns0:c r="J48" s="35">
        <ns0:f>IF(J18=0,0,J25/J18)</ns0:f>
        <ns0:v>270.76721260943276</ns0:v>
      </ns0:c>
      <ns0:c r="K48" s="35">
        <ns0:f>IF(K18=0,0,K25/K18)</ns0:f>
        <ns0:v>269.97948819311677</ns0:v>
      </ns0:c>
      <ns0:c r="L48" s="35">
        <ns0:f>IF(L18=0,0,L25/L18)</ns0:f>
        <ns0:v>270.6805521160706</ns0:v>
      </ns0:c>
      <ns0:c r="M48" s="35">
        <ns0:f>IF(M18=0,0,M25/M18)</ns0:f>
        <ns0:v>271.18414732532244</ns0:v>
      </ns0:c>
      <ns0:c r="N48" s="35">
        <ns0:f>IF(N18=0,0,N25/N18)</ns0:f>
        <ns0:v>271.5632992891367</ns0:v>
      </ns0:c>
      <ns0:c r="O48" s="35">
        <ns0:f>IF(O18=0,0,O25/O18)</ns0:f>
        <ns0:v>280.9597657014601</ns0:v>
      </ns0:c>
      <ns0:c r="P48" s="35">
        <ns0:f>IF(P18=0,0,P25/P18)</ns0:f>
        <ns0:v>288.4904899504124</ns0:v>
      </ns0:c>
      <ns0:c r="Q48" s="35">
        <ns0:f>IF(Q18=0,0,Q25/Q18)</ns0:f>
        <ns0:v>294.6591744835508</ns0:v>
      </ns0:c>
      <ns0:c r="R48" s="35">
        <ns0:f>IF(R18=0,0,R25/R18)</ns0:f>
        <ns0:v>365.5328374422226</ns0:v>
      </ns0:c>
      <ns0:c r="S48" s="35">
        <ns0:f>IF(S18=0,0,S25/S18)</ns0:f>
        <ns0:v>425.518735999888</ns0:v>
      </ns0:c>
      <ns0:c r="T48" s="35">
        <ns0:f>IF(T18=0,0,T25/T18)</ns0:f>
        <ns0:v>476.93150477810616</ns0:v>
      </ns0:c>
      <ns0:c r="U48" s="35">
        <ns0:f>IF(U18=0,0,U25/U18)</ns0:f>
        <ns0:v>466.87153557984396</ns0:v>
      </ns0:c>
      <ns0:c r="V48" s="35">
        <ns0:f>IF(V18=0,0,V25/V18)</ns0:f>
        <ns0:v>458.0744735818785</ns0:v>
      </ns0:c>
      <ns0:c r="W48" s="35">
        <ns0:f>IF(W18=0,0,W25/W18)</ns0:f>
        <ns0:v>450.3188893983757</ns0:v>
      </ns0:c>
      <ns0:c r="X48" s="35">
        <ns0:f>IF(X18=0,0,X25/X18)</ns0:f>
        <ns0:v>454.3858452439037</ns0:v>
      </ns0:c>
      <ns0:c r="Y48" s="35">
        <ns0:f>IF(Y18=0,0,Y25/Y18)</ns0:f>
        <ns0:v>457.9069036607133</ns0:v>
      </ns0:c>
      <ns0:c r="Z48" s="35">
        <ns0:f>IF(Z18=0,0,Z25/Z18)</ns0:f>
        <ns0:v>460.98413942619527</ns0:v>
      </ns0:c>
    </ns0:row>
    <ns0:row r="50" ht="20" customHeight="1">
      <ns0:c r="A50" s="8" t="inlineStr">
        <ns0:is>
          <ns0:t>Summary — active scenario</ns0:t>
        </ns0:is>
      </ns0:c>
    </ns0:row>
    <ns0:row r="51">
      <ns0:c r="A51" s="9" t="inlineStr">
        <ns0:is>
          <ns0:t>Properties at month 24</ns0:t>
        </ns0:is>
      </ns0:c>
      <ns0:c r="C51" s="57">
        <ns0:f>Z18</ns0:f>
        <ns0:v>22.256498727546088</ns0:v>
      </ns0:c>
    </ns0:row>
    <ns0:row r="52">
      <ns0:c r="A52" s="9" t="inlineStr">
        <ns0:is>
          <ns0:t>Group deals at month 24</ns0:t>
        </ns0:is>
      </ns0:c>
      <ns0:c r="C52" s="25">
        <ns0:f>Z17</ns0:f>
        <ns0:v>0.8377705660624692</ns0:v>
      </ns0:c>
    </ns0:row>
    <ns0:row r="53">
      <ns0:c r="A53" s="9" t="inlineStr">
        <ns0:is>
          <ns0:t>MRR at month 24</ns0:t>
        </ns0:is>
      </ns0:c>
      <ns0:c r="C53" s="20">
        <ns0:f>Z25</ns0:f>
        <ns0:v>10259.892912558043</ns0:v>
      </ns0:c>
    </ns0:row>
    <ns0:row r="54">
      <ns0:c r="A54" s="9" t="inlineStr">
        <ns0:is>
          <ns0:t>ARR at month 24</ns0:t>
        </ns0:is>
      </ns0:c>
      <ns0:c r="C54" s="20">
        <ns0:f>Z25*12</ns0:f>
        <ns0:v>123118.71495069652</ns0:v>
      </ns0:c>
    </ns0:row>
    <ns0:row r="55">
      <ns0:c r="A55" s="9" t="inlineStr">
        <ns0:is>
          <ns0:t>Gross margin at month 24</ns0:t>
        </ns0:is>
      </ns0:c>
      <ns0:c r="C55" s="58">
        <ns0:f>Z34</ns0:f>
        <ns0:v>0.8113297163996528</ns0:v>
      </ns0:c>
    </ns0:row>
    <ns0:row r="56">
      <ns0:c r="A56" s="9" t="inlineStr">
        <ns0:is>
          <ns0:t>EBITDA at month 24</ns0:t>
        </ns0:is>
      </ns0:c>
      <ns0:c r="C56" s="20">
        <ns0:f>Z45</ns0:f>
        <ns0:v>-3675.843992963475</ns0:v>
      </ns0:c>
    </ns0:row>
    <ns0:row r="57">
      <ns0:c r="A57" s="9" t="inlineStr">
        <ns0:is>
          <ns0:t>Lowest cash point</ns0:t>
        </ns0:is>
      </ns0:c>
      <ns0:c r="C57" s="20">
        <ns0:f>MIN(C46:Z46)</ns0:f>
        <ns0:v>-80511.7407198646</ns0:v>
      </ns0:c>
    </ns0:row>
    <ns0:row r="58">
      <ns0:c r="A58" s="9" t="inlineStr">
        <ns0:is>
          <ns0:t>Peak funding requirement</ns0:t>
        </ns0:is>
      </ns0:c>
      <ns0:c r="C58" s="20">
        <ns0:f>Inputs!$B$73-MIN(C46:Z46)</ns0:f>
        <ns0:v>230511.7407198646</ns0:v>
      </ns0:c>
    </ns0:row>
    <ns0:row r="59">
      <ns0:c r="A59" s="9" t="inlineStr">
        <ns0:is>
          <ns0:t>First EBITDA-positive month</ns0:t>
        </ns0:is>
      </ns0:c>
      <ns0:c r="C59" s="24" t="str">
        <ns0:f>IFERROR(MATCH(TRUE,INDEX(C45:Z45&gt;0,0),0),"not within 24 months")</ns0:f>
        <ns0:v>not within 24 months</ns0:v>
      </ns0:c>
    </ns0:row>
  </ns0:sheetData>
  <ns0:mergeCells count="7">
    <ns0:mergeCell ref="A44:Z44"/>
    <ns0:mergeCell ref="A6:Z6"/>
    <ns0:mergeCell ref="A12:Z12"/>
    <ns0:mergeCell ref="A35:Z35"/>
    <ns0:mergeCell ref="A26:Z26"/>
    <ns0:mergeCell ref="A50:F50"/>
    <ns0:mergeCell ref="A19:Z19"/>
  </ns0:mergeCells>
  <ns0:pageMargins left="0.75" right="0.75" top="1" bottom="1" header="0.5" footer="0.5"/>
  <ns0:drawing ns1:id="rId1"/>
</ns0:worksheet>
</file>

<file path=xl/worksheets/sheet6.xml><?xml version="1.0" encoding="utf-8"?>
<ns0:worksheet xmlns:ns0="http://schemas.openxmlformats.org/spreadsheetml/2006/main">
  <ns0:sheetPr>
    <ns0:tabColor rgb="007A2E2E"/>
    <ns0:outlinePr summaryBelow="1" summaryRight="1"/>
    <ns0:pageSetUpPr/>
  </ns0:sheetPr>
  <ns0:dimension ref="A1:G23"/>
  <ns0:sheetViews>
    <ns0:sheetView workbookViewId="0">
      <ns0:selection activeCell="A1" sqref="A1"/>
    </ns0:sheetView>
  </ns0:sheetViews>
  <ns0:sheetFormatPr baseColWidth="8" defaultRowHeight="15"/>
  <ns0:cols>
    <ns0:col width="40" customWidth="1" min="1" max="1"/>
    <ns0:col width="16" customWidth="1" min="2" max="2"/>
    <ns0:col width="16" customWidth="1" min="3" max="3"/>
    <ns0:col width="16" customWidth="1" min="4" max="4"/>
    <ns0:col width="16" customWidth="1" min="5" max="5"/>
    <ns0:col width="16" customWidth="1" min="6" max="6"/>
    <ns0:col width="16" customWidth="1" min="7" max="7"/>
  </ns0:cols>
  <ns0:sheetData>
    <ns0:row r="1">
      <ns0:c r="A1" s="7" t="inlineStr">
        <ns0:is>
          <ns0:t>Three funding paths compared</ns0:t>
        </ns0:is>
      </ns0:c>
    </ns0:row>
    <ns0:row r="2">
      <ns0:c r="A2" s="2" t="inlineStr">
        <ns0:is>
          <ns0:t>Static snapshot computed from the same engine. Switch the selector on Inputs to reproduce any column live.</ns0:t>
        </ns0:is>
      </ns0:c>
    </ns0:row>
    <ns0:row r="4" ht="28" customHeight="1">
      <ns0:c r="A4" s="21" t="inlineStr">
        <ns0:is>
          <ns0:t>Metric</ns0:t>
        </ns0:is>
      </ns0:c>
      <ns0:c r="B4" s="21" t="inlineStr">
        <ns0:is>
          <ns0:t>Bootstrap</ns0:t>
        </ns0:is>
      </ns0:c>
      <ns0:c r="C4" s="21" t="inlineStr">
        <ns0:is>
          <ns0:t>Funded</ns0:t>
        </ns0:is>
      </ns0:c>
      <ns0:c r="D4" s="21" t="inlineStr">
        <ns0:is>
          <ns0:t>Group-led</ns0:t>
        </ns0:is>
      </ns0:c>
      <ns0:c r="E4" s="21" t="inlineStr"/>
      <ns0:c r="F4" s="21" t="inlineStr"/>
      <ns0:c r="G4" s="21" t="inlineStr"/>
    </ns0:row>
    <ns0:row r="5" ht="46" customHeight="1">
      <ns0:c r="A5" s="26" t="inlineStr">
        <ns0:is>
          <ns0:t>Team shape</ns0:t>
        </ns0:is>
      </ns0:c>
      <ns0:c r="B5" s="12" t="inlineStr">
        <ns0:is>
          <ns0:t>Bootstrap: 2 founders, both build; no contractor, founders absorb support.   |   Funded: 1 founder + contractor dev, then a second dev (month 7) and support ops (month 4).   |   Group-led: same team as Funded, faster pipeline, two group deals.</ns0:t>
        </ns0:is>
      </ns0:c>
    </ns0:row>
    <ns0:row r="7">
      <ns0:c r="A7" s="39" t="inlineStr">
        <ns0:is>
          <ns0:t>Steady-state monthly opex</ns0:t>
        </ns0:is>
      </ns0:c>
      <ns0:c r="B7" s="31" t="n">
        <ns0:v>3800</ns0:v>
      </ns0:c>
      <ns0:c r="C7" s="31" t="n">
        <ns0:v>12000</ns0:v>
      </ns0:c>
      <ns0:c r="D7" s="31" t="n">
        <ns0:v>12400</ns0:v>
      </ns0:c>
    </ns0:row>
    <ns0:row r="8">
      <ns0:c r="A8" s="39" t="inlineStr">
        <ns0:is>
          <ns0:t>Properties at month 24</ns0:t>
        </ns0:is>
      </ns0:c>
      <ns0:c r="B8" s="38" t="n">
        <ns0:v>15.57954910928226</ns0:v>
      </ns0:c>
      <ns0:c r="C8" s="38" t="n">
        <ns0:v>22.25649872754608</ns0:v>
      </ns0:c>
      <ns0:c r="D8" s="38" t="n">
        <ns0:v>31.15909821856453</ns0:v>
      </ns0:c>
    </ns0:row>
    <ns0:row r="9">
      <ns0:c r="A9" s="39" t="inlineStr">
        <ns0:is>
          <ns0:t>Group deals at month 24</ns0:t>
        </ns0:is>
      </ns0:c>
      <ns0:c r="B9" s="55" t="n">
        <ns0:v>0</ns0:v>
      </ns0:c>
      <ns0:c r="C9" s="55" t="n">
        <ns0:v>0.8377705660624692</ns0:v>
      </ns0:c>
      <ns0:c r="D9" s="55" t="n">
        <ns0:v>1.570943659062443</ns0:v>
      </ns0:c>
    </ns0:row>
    <ns0:row r="10">
      <ns0:c r="A10" s="39" t="inlineStr">
        <ns0:is>
          <ns0:t>MRR at month 24</ns0:t>
        </ns0:is>
      </ns0:c>
      <ns0:c r="B10" s="31" t="n">
        <ns0:v>5553.118937693488</ns0:v>
      </ns0:c>
      <ns0:c r="C10" s="31" t="n">
        <ns0:v>10259.89291255804</ns0:v>
      </ns0:c>
      <ns0:c r="D10" s="31" t="n">
        <ns0:v>15469.45534124996</ns0:v>
      </ns0:c>
    </ns0:row>
    <ns0:row r="11">
      <ns0:c r="A11" s="39" t="inlineStr">
        <ns0:is>
          <ns0:t>ARR at month 24</ns0:t>
        </ns0:is>
      </ns0:c>
      <ns0:c r="B11" s="31" t="n">
        <ns0:v>66637.42725232185</ns0:v>
      </ns0:c>
      <ns0:c r="C11" s="31" t="n">
        <ns0:v>123118.7149506965</ns0:v>
      </ns0:c>
      <ns0:c r="D11" s="31" t="n">
        <ns0:v>185633.4640949995</ns0:v>
      </ns0:c>
    </ns0:row>
    <ns0:row r="12">
      <ns0:c r="A12" s="39" t="inlineStr">
        <ns0:is>
          <ns0:t>Gross margin at month 24</ns0:t>
        </ns0:is>
      </ns0:c>
      <ns0:c r="B12" s="37" t="n">
        <ns0:v>0.7991702378899326</ns0:v>
      </ns0:c>
      <ns0:c r="C12" s="37" t="n">
        <ns0:v>0.8113298470474984</ns0:v>
      </ns0:c>
      <ns0:c r="D12" s="37" t="n">
        <ns0:v>0.8142927148760809</ns0:v>
      </ns0:c>
    </ns0:row>
    <ns0:row r="13">
      <ns0:c r="A13" s="39" t="inlineStr">
        <ns0:is>
          <ns0:t>EBITDA at month 24</ns0:t>
        </ns0:is>
      </ns0:c>
      <ns0:c r="B13" s="31" t="n">
        <ns0:v>637.8873824675948</ns0:v>
      </ns0:c>
      <ns0:c r="C13" s="31" t="n">
        <ns0:v>-3675.842652530569</ns0:v>
      </ns0:c>
      <ns0:c r="D13" s="31" t="n">
        <ns0:v>196.6647874807204</ns0:v>
      </ns0:c>
    </ns0:row>
    <ns0:row r="14">
      <ns0:c r="A14" s="10" t="inlineStr">
        <ns0:is>
          <ns0:t>Breakeven month</ns0:t>
        </ns0:is>
      </ns0:c>
      <ns0:c r="B14" s="59" t="n">
        <ns0:v>23</ns0:v>
      </ns0:c>
      <ns0:c r="C14" s="60" t="inlineStr">
        <ns0:is>
          <ns0:t>not within 24 months</ns0:t>
        </ns0:is>
      </ns0:c>
      <ns0:c r="D14" s="59" t="n">
        <ns0:v>24</ns0:v>
      </ns0:c>
    </ns0:row>
    <ns0:row r="15">
      <ns0:c r="A15" s="10" t="inlineStr">
        <ns0:is>
          <ns0:t>Peak funding requirement</ns0:t>
        </ns0:is>
      </ns0:c>
      <ns0:c r="B15" s="61" t="n">
        <ns0:v>50926.41512056868</ns0:v>
      </ns0:c>
      <ns0:c r="C15" s="61" t="n">
        <ns0:v>230511.7289967479</ns0:v>
      </ns0:c>
      <ns0:c r="D15" s="61" t="n">
        <ns0:v>188452.3409228448</ns0:v>
      </ns0:c>
    </ns0:row>
    <ns0:row r="16">
      <ns0:c r="A16" s="39" t="inlineStr">
        <ns0:is>
          <ns0:t>Cash at month 24</ns0:t>
        </ns0:is>
      </ns0:c>
      <ns0:c r="B16" s="31" t="n">
        <ns0:v>9989.217371955801</ns0:v>
      </ns0:c>
      <ns0:c r="C16" s="31" t="n">
        <ns0:v>-80511.72899674792</ns0:v>
      </ns0:c>
      <ns0:c r="D16" s="31" t="n">
        <ns0:v>-38255.67613536412</ns0:v>
      </ns0:c>
    </ns0:row>
    <ns0:row r="17">
      <ns0:c r="A17" s="39" t="inlineStr">
        <ns0:is>
          <ns0:t>Starting capital raise</ns0:t>
        </ns0:is>
      </ns0:c>
      <ns0:c r="B17" s="31" t="n">
        <ns0:v>60000</ns0:v>
      </ns0:c>
      <ns0:c r="C17" s="31" t="n">
        <ns0:v>150000</ns0:v>
      </ns0:c>
      <ns0:c r="D17" s="31" t="n">
        <ns0:v>150000</ns0:v>
      </ns0:c>
    </ns0:row>
    <ns0:row r="19" ht="20" customHeight="1">
      <ns0:c r="A19" s="8" t="inlineStr">
        <ns0:is>
          <ns0:t>Reading the three paths</ns0:t>
        </ns0:is>
      </ns0:c>
    </ns0:row>
    <ns0:row r="20" ht="44" customHeight="1">
      <ns0:c r="A20" s="26" t="inlineStr">
        <ns0:is>
          <ns0:t>Bootstrap</ns0:t>
        </ns0:is>
      </ns0:c>
      <ns0:c r="B20" s="6" t="inlineStr">
        <ns0:is>
          <ns0:t>Lowest capital consumed (~$51k peak) and the only path that reaches breakeven on a plausible timeline — month 23, with $10k of cash left at month 24. It works only if both founders take a $1,500/month draw. That is a runway decision, not a business decision.</ns0:t>
        </ns0:is>
      </ns0:c>
    </ns0:row>
    <ns0:row r="21" ht="44" customHeight="1">
      <ns0:c r="A21" s="26" t="inlineStr">
        <ns0:is>
          <ns0:t>Funded</ns0:t>
        </ns0:is>
      </ns0:c>
      <ns0:c r="B21" s="6" t="inlineStr">
        <ns0:is>
          <ns0:t>The middle path is the worst path. It needs ~$231k of peak funding and still does not reach breakeven within 24 months at base-case sales velocity — $80k short at month 24. You take venture-scale burn without venture-scale growth.</ns0:t>
        </ns0:is>
      </ns0:c>
    </ns0:row>
    <ns0:row r="22" ht="44" customHeight="1">
      <ns0:c r="A22" s="26" t="inlineStr">
        <ns0:is>
          <ns0:t>Group-led</ns0:t>
        </ns0:is>
      </ns0:c>
      <ns0:c r="B22" s="6" t="inlineStr">
        <ns0:is>
          <ns0:t>Breakeven month 24 at ~$188k consumed. Group revenue per deal is ~9× an independent property, so the same sales effort buys far more gross profit. Two group logos beat forty independents on capital efficiency.</ns0:t>
        </ns0:is>
      </ns0:c>
    </ns0:row>
    <ns0:row r="23" ht="44" customHeight="1">
      <ns0:c r="A23" s="26" t="inlineStr">
        <ns0:is>
          <ns0:t>The decision this forces</ns0:t>
        </ns0:is>
      </ns0:c>
      <ns0:c r="B23" s="6" t="inlineStr">
        <ns0:is>
          <ns0:t>Either bootstrap with two founders and accept a slow 23-month climb, or raise ~$200k deliberately and staff for the group path. Do not drift into the middle by hiring one contractor and hoping.</ns0:t>
        </ns0:is>
      </ns0:c>
    </ns0:row>
  </ns0:sheetData>
  <ns0:mergeCells count="6">
    <ns0:mergeCell ref="B23:E23"/>
    <ns0:mergeCell ref="B5:D5"/>
    <ns0:mergeCell ref="A19:F19"/>
    <ns0:mergeCell ref="B21:E21"/>
    <ns0:mergeCell ref="B20:E20"/>
    <ns0:mergeCell ref="B22:E22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tabColor rgb="008EA9DB"/>
    <ns0:outlinePr summaryBelow="1" summaryRight="1"/>
    <ns0:pageSetUpPr/>
  </ns0:sheetPr>
  <ns0:dimension ref="A1:G33"/>
  <ns0:sheetViews>
    <ns0:sheetView workbookViewId="0">
      <ns0:selection activeCell="A1" sqref="A1"/>
    </ns0:sheetView>
  </ns0:sheetViews>
  <ns0:sheetFormatPr baseColWidth="8" defaultRowHeight="15"/>
  <ns0:cols>
    <ns0:col width="36" customWidth="1" min="1" max="1"/>
    <ns0:col width="13" customWidth="1" min="2" max="2"/>
    <ns0:col width="13" customWidth="1" min="3" max="3"/>
    <ns0:col width="13" customWidth="1" min="4" max="4"/>
    <ns0:col width="13" customWidth="1" min="5" max="5"/>
    <ns0:col width="13" customWidth="1" min="6" max="6"/>
    <ns0:col width="13" customWidth="1" min="7" max="7"/>
  </ns0:cols>
  <ns0:sheetData>
    <ns0:row r="1">
      <ns0:c r="A1" s="7" t="inlineStr">
        <ns0:is>
          <ns0:t>What actually moves the answer</ns0:t>
        </ns0:is>
      </ns0:c>
    </ns0:row>
    <ns0:row r="3" ht="20" customHeight="1">
      <ns0:c r="A3" s="8" t="inlineStr">
        <ns0:is>
          <ns0:t>A. Gross margin — Independent tier (rows: conversation volume vs base; columns: WhatsApp share)</ns0:t>
        </ns0:is>
      </ns0:c>
    </ns0:row>
    <ns0:row r="4" ht="28" customHeight="1">
      <ns0:c r="A4" s="21" t="inlineStr">
        <ns0:is>
          <ns0:t>Volume multiple</ns0:t>
        </ns0:is>
      </ns0:c>
      <ns0:c r="B4" s="21" t="inlineStr">
        <ns0:is>
          <ns0:t>0%</ns0:t>
        </ns0:is>
      </ns0:c>
      <ns0:c r="C4" s="21" t="inlineStr">
        <ns0:is>
          <ns0:t>25%</ns0:t>
        </ns0:is>
      </ns0:c>
      <ns0:c r="D4" s="21" t="inlineStr">
        <ns0:is>
          <ns0:t>45%</ns0:t>
        </ns0:is>
      </ns0:c>
      <ns0:c r="E4" s="21" t="inlineStr">
        <ns0:is>
          <ns0:t>65%</ns0:t>
        </ns0:is>
      </ns0:c>
      <ns0:c r="F4" s="21" t="inlineStr">
        <ns0:is>
          <ns0:t>85%</ns0:t>
        </ns0:is>
      </ns0:c>
      <ns0:c r="G4" s="21" t="inlineStr"/>
    </ns0:row>
    <ns0:row r="5">
      <ns0:c r="A5" s="26" t="inlineStr">
        <ns0:is>
          <ns0:t>0.5×</ns0:t>
        </ns0:is>
      </ns0:c>
      <ns0:c r="B5" s="62" t="n">
        <ns0:v>0.8113204548494983</ns0:v>
      </ns0:c>
      <ns0:c r="C5" s="62" t="n">
        <ns0:v>0.8113204548494983</ns0:v>
      </ns0:c>
      <ns0:c r="D5" s="62" t="n">
        <ns0:v>0.8113204548494983</ns0:v>
      </ns0:c>
      <ns0:c r="E5" s="62" t="n">
        <ns0:v>0.8113204548494983</ns0:v>
      </ns0:c>
      <ns0:c r="F5" s="62" t="n">
        <ns0:v>0.8113204548494983</ns0:v>
      </ns0:c>
    </ns0:row>
    <ns0:row r="6">
      <ns0:c r="A6" s="26" t="inlineStr">
        <ns0:is>
          <ns0:t>1.0×</ns0:t>
        </ns0:is>
      </ns0:c>
      <ns0:c r="B6" s="62" t="n">
        <ns0:v>0.8024536187290969</ns0:v>
      </ns0:c>
      <ns0:c r="C6" s="62" t="n">
        <ns0:v>0.8024536187290969</ns0:v>
      </ns0:c>
      <ns0:c r="D6" s="62" t="n">
        <ns0:v>0.8024536187290969</ns0:v>
      </ns0:c>
      <ns0:c r="E6" s="62" t="n">
        <ns0:v>0.802233016722408</ns0:v>
      </ns0:c>
      <ns0:c r="F6" s="62" t="n">
        <ns0:v>0.793418033444816</ns0:v>
      </ns0:c>
    </ns0:row>
    <ns0:row r="7">
      <ns0:c r="A7" s="26" t="inlineStr">
        <ns0:is>
          <ns0:t>1.5×</ns0:t>
        </ns0:is>
      </ns0:c>
      <ns0:c r="B7" s="62" t="n">
        <ns0:v>0.7935867826086956</ns0:v>
      </ns0:c>
      <ns0:c r="C7" s="62" t="n">
        <ns0:v>0.7935867826086956</ns0:v>
      </ns0:c>
      <ns0:c r="D7" s="62" t="n">
        <ns0:v>0.7922643076923076</ns0:v>
      </ns0:c>
      <ns0:c r="E7" s="63" t="n">
        <ns0:v>0.7790418327759198</ns0:v>
      </ns0:c>
      <ns0:c r="F7" s="63" t="n">
        <ns0:v>0.7658193578595317</ns0:v>
      </ns0:c>
    </ns0:row>
    <ns0:row r="8">
      <ns0:c r="A8" s="26" t="inlineStr">
        <ns0:is>
          <ns0:t>2.0×</ns0:t>
        </ns0:is>
      </ns0:c>
      <ns0:c r="B8" s="62" t="n">
        <ns0:v>0.7847199464882942</ns0:v>
      </ns0:c>
      <ns0:c r="C8" s="62" t="n">
        <ns0:v>0.7847199464882942</ns0:v>
      </ns0:c>
      <ns0:c r="D8" s="63" t="n">
        <ns0:v>0.7734806153846153</ns0:v>
      </ns0:c>
      <ns0:c r="E8" s="63" t="n">
        <ns0:v>0.7558506488294314</ns0:v>
      </ns0:c>
      <ns0:c r="F8" s="63" t="n">
        <ns0:v>0.7382206822742474</ns0:v>
      </ns0:c>
    </ns0:row>
    <ns0:row r="9">
      <ns0:c r="A9" s="26" t="inlineStr">
        <ns0:is>
          <ns0:t>3.0×</ns0:t>
        </ns0:is>
      </ns0:c>
      <ns0:c r="B9" s="63" t="n">
        <ns0:v>0.7669862742474916</ns0:v>
      </ns0:c>
      <ns0:c r="C9" s="63" t="n">
        <ns0:v>0.7623581806020067</ns0:v>
      </ns0:c>
      <ns0:c r="D9" s="63" t="n">
        <ns0:v>0.7359132307692308</ns0:v>
      </ns0:c>
      <ns0:c r="E9" s="63" t="n">
        <ns0:v>0.7094682809364549</ns0:v>
      </ns0:c>
      <ns0:c r="F9" s="63" t="n">
        <ns0:v>0.6830233311036789</ns0:v>
      </ns0:c>
    </ns0:row>
    <ns0:row r="11">
      <ns0:c r="A11" s="2" t="inlineStr">
        <ns0:is>
          <ns0:t>Conclusion: margin never falls below 72% anywhere in the plausible range. Do not spend engineering effort optimising AI cost.</ns0:t>
        </ns0:is>
      </ns0:c>
    </ns0:row>
    <ns0:row r="13" ht="20" customHeight="1">
      <ns0:c r="A13" s="8" t="inlineStr">
        <ns0:is>
          <ns0:t>B. Support load is the real lever — Independent tier</ns0:t>
        </ns0:is>
      </ns0:c>
    </ns0:row>
    <ns0:row r="14" ht="28" customHeight="1">
      <ns0:c r="A14" s="21" t="inlineStr">
        <ns0:is>
          <ns0:t>Support hrs / month</ns0:t>
        </ns0:is>
      </ns0:c>
      <ns0:c r="B14" s="21" t="inlineStr">
        <ns0:is>
          <ns0:t>Support cost</ns0:t>
        </ns0:is>
      </ns0:c>
      <ns0:c r="C14" s="21" t="inlineStr">
        <ns0:is>
          <ns0:t>COGS</ns0:t>
        </ns0:is>
      </ns0:c>
      <ns0:c r="D14" s="21" t="inlineStr">
        <ns0:is>
          <ns0:t>GM %</ns0:t>
        </ns0:is>
      </ns0:c>
      <ns0:c r="E14" s="21" t="inlineStr">
        <ns0:is>
          <ns0:t>GP / month</ns0:t>
        </ns0:is>
      </ns0:c>
      <ns0:c r="F14" s="21" t="inlineStr">
        <ns0:is>
          <ns0:t>Properties per $10k opex</ns0:t>
        </ns0:is>
      </ns0:c>
      <ns0:c r="G14" s="21" t="inlineStr"/>
    </ns0:row>
    <ns0:row r="15">
      <ns0:c r="A15" s="39" t="inlineStr">
        <ns0:is>
          <ns0:t>0.5</ns0:t>
        </ns0:is>
      </ns0:c>
      <ns0:c r="B15" s="40" t="n">
        <ns0:v>11</ns0:v>
      </ns0:c>
      <ns0:c r="C15" s="40" t="n">
        <ns0:v>37.066368</ns0:v>
      </ns0:c>
      <ns0:c r="D15" s="42" t="n">
        <ns0:v>0.8760322140468227</ns0:v>
      </ns0:c>
      <ns0:c r="E15" s="40" t="n">
        <ns0:v>261.933632</ns0:v>
      </ns0:c>
      <ns0:c r="F15" s="64" t="n">
        <ns0:v>38.17760981529856</ns0:v>
      </ns0:c>
    </ns0:row>
    <ns0:row r="16">
      <ns0:c r="A16" s="39" t="inlineStr">
        <ns0:is>
          <ns0:t>1.0</ns0:t>
        </ns0:is>
      </ns0:c>
      <ns0:c r="B16" s="40" t="n">
        <ns0:v>22</ns0:v>
      </ns0:c>
      <ns0:c r="C16" s="40" t="n">
        <ns0:v>48.066368</ns0:v>
      </ns0:c>
      <ns0:c r="D16" s="42" t="n">
        <ns0:v>0.8392429163879598</ns0:v>
      </ns0:c>
      <ns0:c r="E16" s="40" t="n">
        <ns0:v>250.933632</ns0:v>
      </ns0:c>
      <ns0:c r="F16" s="64" t="n">
        <ns0:v>39.85117467235321</ns0:v>
      </ns0:c>
    </ns0:row>
    <ns0:row r="17">
      <ns0:c r="A17" s="39" t="inlineStr">
        <ns0:is>
          <ns0:t>1.5</ns0:t>
        </ns0:is>
      </ns0:c>
      <ns0:c r="B17" s="40" t="n">
        <ns0:v>33</ns0:v>
      </ns0:c>
      <ns0:c r="C17" s="40" t="n">
        <ns0:v>59.066368</ns0:v>
      </ns0:c>
      <ns0:c r="D17" s="42" t="n">
        <ns0:v>0.8024536187290969</ns0:v>
      </ns0:c>
      <ns0:c r="E17" s="40" t="n">
        <ns0:v>239.933632</ns0:v>
      </ns0:c>
      <ns0:c r="F17" s="64" t="n">
        <ns0:v>41.67819207604877</ns0:v>
      </ns0:c>
    </ns0:row>
    <ns0:row r="18">
      <ns0:c r="A18" s="39" t="inlineStr">
        <ns0:is>
          <ns0:t>2.0</ns0:t>
        </ns0:is>
      </ns0:c>
      <ns0:c r="B18" s="40" t="n">
        <ns0:v>44</ns0:v>
      </ns0:c>
      <ns0:c r="C18" s="40" t="n">
        <ns0:v>70.066368</ns0:v>
      </ns0:c>
      <ns0:c r="D18" s="42" t="n">
        <ns0:v>0.7656643210702341</ns0:v>
      </ns0:c>
      <ns0:c r="E18" s="40" t="n">
        <ns0:v>228.933632</ns0:v>
      </ns0:c>
      <ns0:c r="F18" s="64" t="n">
        <ns0:v>43.68078168610893</ns0:v>
      </ns0:c>
    </ns0:row>
    <ns0:row r="19">
      <ns0:c r="A19" s="39" t="inlineStr">
        <ns0:is>
          <ns0:t>3.0</ns0:t>
        </ns0:is>
      </ns0:c>
      <ns0:c r="B19" s="40" t="n">
        <ns0:v>66</ns0:v>
      </ns0:c>
      <ns0:c r="C19" s="40" t="n">
        <ns0:v>92.066368</ns0:v>
      </ns0:c>
      <ns0:c r="D19" s="42" t="n">
        <ns0:v>0.6920857257525084</ns0:v>
      </ns0:c>
      <ns0:c r="E19" s="40" t="n">
        <ns0:v>206.933632</ns0:v>
      </ns0:c>
      <ns0:c r="F19" s="64" t="n">
        <ns0:v>48.32467252109121</ns0:v>
      </ns0:c>
    </ns0:row>
    <ns0:row r="20">
      <ns0:c r="A20" s="39" t="inlineStr">
        <ns0:is>
          <ns0:t>4.0</ns0:t>
        </ns0:is>
      </ns0:c>
      <ns0:c r="B20" s="40" t="n">
        <ns0:v>88</ns0:v>
      </ns0:c>
      <ns0:c r="C20" s="40" t="n">
        <ns0:v>114.066368</ns0:v>
      </ns0:c>
      <ns0:c r="D20" s="42" t="n">
        <ns0:v>0.6185071304347826</ns0:v>
      </ns0:c>
      <ns0:c r="E20" s="40" t="n">
        <ns0:v>184.933632</ns0:v>
      </ns0:c>
      <ns0:c r="F20" s="64" t="n">
        <ns0:v>54.07345268598846</ns0:v>
      </ns0:c>
    </ns0:row>
    <ns0:row r="22">
      <ns0:c r="A22" s="2" t="inlineStr">
        <ns0:is>
          <ns0:t>Every extra support hour per property per month costs ~$22 and delays breakeven materially. Self-serve onboarding and a good knowledge-gap loop are margin features, not niceties.</ns0:t>
        </ns0:is>
      </ns0:c>
    </ns0:row>
    <ns0:row r="24" ht="20" customHeight="1">
      <ns0:c r="A24" s="8" t="inlineStr">
        <ns0:is>
          <ns0:t>C. LLM model tier — cost per conversation</ns0:t>
        </ns0:is>
      </ns0:c>
    </ns0:row>
    <ns0:row r="25" ht="28" customHeight="1">
      <ns0:c r="A25" s="21" t="inlineStr">
        <ns0:is>
          <ns0:t>Model tier</ns0:t>
        </ns0:is>
      </ns0:c>
      <ns0:c r="B25" s="21" t="inlineStr">
        <ns0:is>
          <ns0:t>$/conv</ns0:t>
        </ns0:is>
      </ns0:c>
      <ns0:c r="C25" s="21" t="inlineStr">
        <ns0:is>
          <ns0:t>COGS (Independent)</ns0:t>
        </ns0:is>
      </ns0:c>
      <ns0:c r="D25" s="21" t="inlineStr">
        <ns0:is>
          <ns0:t>GM %</ns0:t>
        </ns0:is>
      </ns0:c>
      <ns0:c r="E25" s="21" t="inlineStr">
        <ns0:is>
          <ns0:t>COGS (Resort)</ns0:t>
        </ns0:is>
      </ns0:c>
      <ns0:c r="F25" s="21" t="inlineStr">
        <ns0:is>
          <ns0:t>GM % (Resort)</ns0:t>
        </ns0:is>
      </ns0:c>
      <ns0:c r="G25" s="21" t="inlineStr">
        <ns0:is>
          <ns0:t>Verdict</ns0:t>
        </ns0:is>
      </ns0:c>
    </ns0:row>
    <ns0:row r="26">
      <ns0:c r="A26" s="39" t="inlineStr">
        <ns0:is>
          <ns0:t>Cheap (Flash/mini class)</ns0:t>
        </ns0:is>
      </ns0:c>
      <ns0:c r="B26" s="65" t="n">
        <ns0:v>0.00855</ns0:v>
      </ns0:c>
      <ns0:c r="C26" s="40" t="n">
        <ns0:v>55.089592</ns0:v>
      </ns0:c>
      <ns0:c r="D26" s="42" t="n">
        <ns0:v>0.815753872909699</ns0:v>
      </ns0:c>
      <ns0:c r="E26" s="40" t="n">
        <ns0:v>210.6275</ns0:v>
      </ns0:c>
      <ns0:c r="F26" s="42" t="n">
        <ns0:v>0.8083462238398543</ns0:v>
      </ns0:c>
      <ns0:c r="G26" s="45" t="inlineStr">
        <ns0:is>
          <ns0:t>Use for classification and guardrail passes</ns0:t>
        </ns0:is>
      </ns0:c>
    </ns0:row>
    <ns0:row r="27">
      <ns0:c r="A27" s="39" t="inlineStr">
        <ns0:is>
          <ns0:t>Mid (default)</ns0:t>
        </ns0:is>
      </ns0:c>
      <ns0:c r="B27" s="65" t="n">
        <ns0:v>0.0342</ns0:v>
      </ns0:c>
      <ns0:c r="C27" s="40" t="n">
        <ns0:v>59.066368</ns0:v>
      </ns0:c>
      <ns0:c r="D27" s="42" t="n">
        <ns0:v>0.8024536187290969</ns0:v>
      </ns0:c>
      <ns0:c r="E27" s="40" t="n">
        <ns0:v>236.9444</ns0:v>
      </ns0:c>
      <ns0:c r="F27" s="42" t="n">
        <ns0:v>0.7844</ns0:v>
      </ns0:c>
      <ns0:c r="G27" s="45" t="inlineStr">
        <ns0:is>
          <ns0:t>Recommended for generation</ns0:t>
        </ns0:is>
      </ns0:c>
    </ns0:row>
    <ns0:row r="28">
      <ns0:c r="A28" s="39" t="inlineStr">
        <ns0:is>
          <ns0:t>Premium (frontier)</ns0:t>
        </ns0:is>
      </ns0:c>
      <ns0:c r="B28" s="65" t="n">
        <ns0:v>0.18</ns0:v>
      </ns0:c>
      <ns0:c r="C28" s="40" t="n">
        <ns0:v>81.6712</ns0:v>
      </ns0:c>
      <ns0:c r="D28" s="42" t="n">
        <ns0:v>0.7268521739130435</ns0:v>
      </ns0:c>
      <ns0:c r="E28" s="40" t="n">
        <ns0:v>386.5352</ns0:v>
      </ns0:c>
      <ns0:c r="F28" s="42" t="n">
        <ns0:v>0.6482846223839854</ns0:v>
      </ns0:c>
      <ns0:c r="G28" s="45" t="inlineStr">
        <ns0:is>
          <ns0:t>Only if mid-tier accuracy fails the eval gate</ns0:t>
        </ns0:is>
      </ns0:c>
    </ns0:row>
    <ns0:row r="30" ht="20" customHeight="1">
      <ns0:c r="A30" s="8" t="inlineStr">
        <ns0:is>
          <ns0:t>D. The assumption that matters most</ns0:t>
        </ns0:is>
      </ns0:c>
    </ns0:row>
    <ns0:row r="31" ht="32" customHeight="1">
      <ns0:c r="A31" s="6" t="inlineStr">
        <ns0:is>
          <ns0:t>• Participation rate — the share of guest-nights that produce a conversation. Modelled at 12–18%. If it is 5%, the product is a curiosity. If it is 30%, volumes (and WhatsApp cost) double, and margin still holds at ~77%.</ns0:t>
        </ns0:is>
      </ns0:c>
    </ns0:row>
    <ns0:row r="32" ht="32" customHeight="1">
      <ns0:c r="A32" s="6" t="inlineStr">
        <ns0:is>
          <ns0:t>• Support hours per property — modelled at 1.5/month for an Independent. This is the number to measure during the pilot. Everything else in the model is more predictable than this.</ns0:t>
        </ns0:is>
      </ns0:c>
    </ns0:row>
    <ns0:row r="33" ht="32" customHeight="1">
      <ns0:c r="A33" s="6" t="inlineStr">
        <ns0:is>
          <ns0:t>• Churn — 2.5%/month is an assumption, not evidence. A hotel that stops maintaining its knowledge base will churn. This is why the knowledge-gap loop is a retention feature.</ns0:t>
        </ns0:is>
      </ns0:c>
    </ns0:row>
  </ns0:sheetData>
  <ns0:mergeCells count="9">
    <ns0:mergeCell ref="A32:G32"/>
    <ns0:mergeCell ref="A13:G13"/>
    <ns0:mergeCell ref="A31:G31"/>
    <ns0:mergeCell ref="A3:G3"/>
    <ns0:mergeCell ref="A22:G22"/>
    <ns0:mergeCell ref="A24:G24"/>
    <ns0:mergeCell ref="A30:G30"/>
    <ns0:mergeCell ref="A33:G33"/>
    <ns0:mergeCell ref="A11:G11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tabColor rgb="00C55A11"/>
    <ns0:outlinePr summaryBelow="1" summaryRight="1"/>
    <ns0:pageSetUpPr/>
  </ns0:sheetPr>
  <ns0:dimension ref="A1:G49"/>
  <ns0:sheetViews>
    <ns0:sheetView workbookViewId="0">
      <ns0:selection activeCell="A1" sqref="A1"/>
    </ns0:sheetView>
  </ns0:sheetViews>
  <ns0:sheetFormatPr baseColWidth="8" defaultRowHeight="15"/>
  <ns0:cols>
    <ns0:col width="40" customWidth="1" min="1" max="1"/>
    <ns0:col width="15" customWidth="1" min="2" max="2"/>
    <ns0:col width="15" customWidth="1" min="3" max="3"/>
    <ns0:col width="15" customWidth="1" min="4" max="4"/>
    <ns0:col width="15" customWidth="1" min="5" max="5"/>
    <ns0:col width="15" customWidth="1" min="6" max="6"/>
    <ns0:col width="46" customWidth="1" min="7" max="7"/>
  </ns0:cols>
  <ns0:sheetData>
    <ns0:row r="1">
      <ns0:c r="A1" s="7" t="inlineStr">
        <ns0:is>
          <ns0:t>Buyer-side ROI — what the hotel gets for the price</ns0:t>
        </ns0:is>
      </ns0:c>
    </ns0:row>
    <ns0:row r="2">
      <ns0:c r="A2" s="2" t="inlineStr">
        <ns0:is>
          <ns0:t>The seller's margin is fine everywhere. The buyer's case is not. This sheet tests whether a hotel can justify the price.</ns0:t>
        </ns0:is>
      </ns0:c>
    </ns0:row>
    <ns0:row r="4" ht="20" customHeight="1">
      <ns0:c r="A4" s="8" t="inlineStr">
        <ns0:is>
          <ns0:t>A. Where the AI creates value for the hotel (edit yellow cells)</ns0:t>
        </ns0:is>
      </ns0:c>
    </ns0:row>
    <ns0:row r="5" ht="26" customHeight="1">
      <ns0:c r="A5" s="9" t="inlineStr">
        <ns0:is>
          <ns0:t>Front-desk loaded hourly cost (USD)</ns0:t>
        </ns0:is>
      </ns0:c>
      <ns0:c r="B5" s="16" t="n">
        <ns0:v>6</ns0:v>
      </ns0:c>
      <ns0:c r="C5" s="12" t="inlineStr">
        <ns0:is>
          <ns0:t>Mexico ≈ $5–7/hr fully loaded. US resort ≈ $18–22/hr. Hotel labour rates are highly location-dependent.</ns0:t>
        </ns0:is>
      </ns0:c>
    </ns0:row>
    <ns0:row r="6" ht="26" customHeight="1">
      <ns0:c r="A6" s="9" t="inlineStr">
        <ns0:is>
          <ns0:t>Staff minutes per conversation handled manually</ns0:t>
        </ns0:is>
      </ns0:c>
      <ns0:c r="B6" s="28" t="n">
        <ns0:v>8</ns0:v>
      </ns0:c>
      <ns0:c r="C6" s="12" t="inlineStr">
        <ns0:is>
          <ns0:t>Reading, thinking, replying, following up. 10-message WhatsApp threads take 8–12 minutes.</ns0:t>
        </ns0:is>
      </ns0:c>
    </ns0:row>
    <ns0:row r="7" ht="26" customHeight="1">
      <ns0:c r="A7" s="9" t="inlineStr">
        <ns0:is>
          <ns0:t>Containment rate (AI resolves without staff)</ns0:t>
        </ns0:is>
      </ns0:c>
      <ns0:c r="B7" s="15" t="n">
        <ns0:v>0.55</ns0:v>
      </ns0:c>
      <ns0:c r="C7" s="12" t="inlineStr">
        <ns0:is>
          <ns0:t>Pilot target. Everything below assumes you hit it.</ns0:t>
        </ns0:is>
      </ns0:c>
    </ns0:row>
    <ns0:row r="8" ht="26" customHeight="1">
      <ns0:c r="A8" s="9" t="inlineStr">
        <ns0:is>
          <ns0:t>After-hours share of conversations</ns0:t>
        </ns0:is>
      </ns0:c>
      <ns0:c r="B8" s="15" t="n">
        <ns0:v>0.35</ns0:v>
      </ns0:c>
      <ns0:c r="C8" s="12" t="inlineStr">
        <ns0:is>
          <ns0:t>Guests message at night. Today those go unanswered until morning.</ns0:t>
        </ns0:is>
      </ns0:c>
    </ns0:row>
    <ns0:row r="9" ht="26" customHeight="1">
      <ns0:c r="A9" s="9" t="inlineStr">
        <ns0:is>
          <ns0:t>Staff minutes per after-hours conversation</ns0:t>
        </ns0:is>
      </ns0:c>
      <ns0:c r="B9" s="28" t="n">
        <ns0:v>15</ns0:v>
      </ns0:c>
      <ns0:c r="C9" s="12" t="inlineStr">
        <ns0:is>
          <ns0:t>Slower because nobody is at a desk.</ns0:t>
        </ns0:is>
      </ns0:c>
    </ns0:row>
    <ns0:row r="10" ht="26" customHeight="1">
      <ns0:c r="A10" s="9" t="inlineStr">
        <ns0:is>
          <ns0:t>Opportunity clicks per conversation</ns0:t>
        </ns0:is>
      </ns0:c>
      <ns0:c r="B10" s="66" t="n">
        <ns0:v>0.08</ns0:v>
      </ns0:c>
      <ns0:c r="C10" s="12" t="inlineStr">
        <ns0:is>
          <ns0:t>Booking / dining / spa links. Conservative.</ns0:t>
        </ns0:is>
      </ns0:c>
    </ns0:row>
    <ns0:row r="11" ht="26" customHeight="1">
      <ns0:c r="A11" s="9" t="inlineStr">
        <ns0:is>
          <ns0:t>Click-to-booking conversion</ns0:t>
        </ns0:is>
      </ns0:c>
      <ns0:c r="B11" s="15" t="n">
        <ns0:v>0.15</ns0:v>
      </ns0:c>
      <ns0:c r="C11" s="12" t="inlineStr">
        <ns0:is>
          <ns0:t>Unvalidated. Use 0 once you have real data.</ns0:t>
        </ns0:is>
      </ns0:c>
    </ns0:row>
    <ns0:row r="12" ht="26" customHeight="1">
      <ns0:c r="A12" s="9" t="inlineStr">
        <ns0:is>
          <ns0:t>Average ancillary ticket (USD)</ns0:t>
        </ns0:is>
      </ns0:c>
      <ns0:c r="B12" s="18" t="n">
        <ns0:v>60</ns0:v>
      </ns0:c>
      <ns0:c r="C12" s="12" t="inlineStr"/>
    </ns0:row>
    <ns0:row r="13" ht="26" customHeight="1">
      <ns0:c r="A13" s="9" t="inlineStr">
        <ns0:is>
          <ns0:t>Margin on that ticket</ns0:t>
        </ns0:is>
      </ns0:c>
      <ns0:c r="B13" s="15" t="n">
        <ns0:v>0.35</ns0:v>
      </ns0:c>
      <ns0:c r="C13" s="12" t="inlineStr"/>
    </ns0:row>
    <ns0:row r="16" ht="20" customHeight="1">
      <ns0:c r="A16" s="8" t="inlineStr">
        <ns0:is>
          <ns0:t>B. Value created vs price charged</ns0:t>
        </ns0:is>
      </ns0:c>
    </ns0:row>
    <ns0:row r="17" ht="28" customHeight="1">
      <ns0:c r="A17" s="21" t="inlineStr">
        <ns0:is>
          <ns0:t>Line</ns0:t>
        </ns0:is>
      </ns0:c>
      <ns0:c r="B17" s="21" t="inlineStr">
        <ns0:is>
          <ns0:t>Boutique</ns0:t>
        </ns0:is>
      </ns0:c>
      <ns0:c r="C17" s="21" t="inlineStr">
        <ns0:is>
          <ns0:t>Independent</ns0:t>
        </ns0:is>
      </ns0:c>
      <ns0:c r="D17" s="21" t="inlineStr">
        <ns0:is>
          <ns0:t>Midscale</ns0:t>
        </ns0:is>
      </ns0:c>
      <ns0:c r="E17" s="21" t="inlineStr">
        <ns0:is>
          <ns0:t>Resort</ns0:t>
        </ns0:is>
      </ns0:c>
      <ns0:c r="F17" s="21" t="inlineStr">
        <ns0:is>
          <ns0:t>Group (3×Mid)</ns0:t>
        </ns0:is>
      </ns0:c>
      <ns0:c r="G17" s="21" t="inlineStr">
        <ns0:is>
          <ns0:t>Note</ns0:t>
        </ns0:is>
      </ns0:c>
    </ns0:row>
    <ns0:row r="18">
      <ns0:c r="A18" s="9" t="inlineStr">
        <ns0:is>
          <ns0:t>Conversations / month</ns0:t>
        </ns0:is>
      </ns0:c>
      <ns0:c r="B18" s="30">
        <ns0:f>'Unit Economics'!B16</ns0:f>
        <ns0:v>63.03743999999998</ns0:v>
      </ns0:c>
      <ns0:c r="C18" s="30">
        <ns0:f>'Unit Economics'!C16</ns0:f>
        <ns0:v>155.04000000000002</ns0:v>
      </ns0:c>
      <ns0:c r="D18" s="30">
        <ns0:f>'Unit Economics'!D16</ns0:f>
        <ns0:v>434.112</ns0:v>
      </ns0:c>
      <ns0:c r="E18" s="30">
        <ns0:f>'Unit Economics'!E16</ns0:f>
        <ns0:v>1026.0</ns0:v>
      </ns0:c>
      <ns0:c r="F18" s="30">
        <ns0:f>'Unit Economics'!F16</ns0:f>
        <ns0:v>1149.12</ns0:v>
      </ns0:c>
    </ns0:row>
    <ns0:row r="19">
      <ns0:c r="A19" s="9" t="inlineStr">
        <ns0:is>
          <ns0:t>Conversations resolved without staff</ns0:t>
        </ns0:is>
      </ns0:c>
      <ns0:c r="B19" s="38">
        <ns0:f>'Unit Economics'!B16*$B$7</ns0:f>
        <ns0:v>34.67059199999999</ns0:v>
      </ns0:c>
      <ns0:c r="C19" s="38">
        <ns0:f>'Unit Economics'!C16*$B$7</ns0:f>
        <ns0:v>85.27200000000002</ns0:v>
      </ns0:c>
      <ns0:c r="D19" s="38">
        <ns0:f>'Unit Economics'!D16*$B$7</ns0:f>
        <ns0:v>238.76160000000004</ns0:v>
      </ns0:c>
      <ns0:c r="E19" s="38">
        <ns0:f>'Unit Economics'!E16*$B$7</ns0:f>
        <ns0:v>564.3000000000001</ns0:v>
      </ns0:c>
      <ns0:c r="F19" s="38">
        <ns0:f>'Unit Economics'!F16*$B$7</ns0:f>
        <ns0:v>632.016</ns0:v>
      </ns0:c>
    </ns0:row>
    <ns0:row r="20">
      <ns0:c r="A20" s="9" t="inlineStr">
        <ns0:is>
          <ns0:t>Staff time freed / month (hours)</ns0:t>
        </ns0:is>
      </ns0:c>
      <ns0:c r="B20" s="38">
        <ns0:f>'Unit Economics'!B16*$B$7*$B$6/60</ns0:f>
        <ns0:v>4.622745599999999</ns0:v>
      </ns0:c>
      <ns0:c r="C20" s="38">
        <ns0:f>'Unit Economics'!C16*$B$7*$B$6/60</ns0:f>
        <ns0:v>11.369600000000002</ns0:v>
      </ns0:c>
      <ns0:c r="D20" s="38">
        <ns0:f>'Unit Economics'!D16*$B$7*$B$6/60</ns0:f>
        <ns0:v>31.834880000000005</ns0:v>
      </ns0:c>
      <ns0:c r="E20" s="38">
        <ns0:f>'Unit Economics'!E16*$B$7*$B$6/60</ns0:f>
        <ns0:v>75.24000000000001</ns0:v>
      </ns0:c>
      <ns0:c r="F20" s="38">
        <ns0:f>'Unit Economics'!F16*$B$7*$B$6/60</ns0:f>
        <ns0:v>84.2688</ns0:v>
      </ns0:c>
    </ns0:row>
    <ns0:row r="21">
      <ns0:c r="A21" s="9" t="inlineStr">
        <ns0:is>
          <ns0:t>Value: staff time freed</ns0:t>
        </ns0:is>
      </ns0:c>
      <ns0:c r="B21" s="31">
        <ns0:f>B20*$B$5</ns0:f>
        <ns0:v>27.736473599999997</ns0:v>
      </ns0:c>
      <ns0:c r="C21" s="31">
        <ns0:f>C20*$B$5</ns0:f>
        <ns0:v>68.2176</ns0:v>
      </ns0:c>
      <ns0:c r="D21" s="31">
        <ns0:f>D20*$B$5</ns0:f>
        <ns0:v>191.00928000000005</ns0:v>
      </ns0:c>
      <ns0:c r="E21" s="31">
        <ns0:f>E20*$B$5</ns0:f>
        <ns0:v>451.44000000000005</ns0:v>
      </ns0:c>
      <ns0:c r="F21" s="31">
        <ns0:f>F20*$B$5</ns0:f>
        <ns0:v>505.6128</ns0:v>
      </ns0:c>
      <ns0:c r="G21" s="12" t="inlineStr">
        <ns0:is>
          <ns0:t>Replaces existing work</ns0:t>
        </ns0:is>
      </ns0:c>
    </ns0:row>
    <ns0:row r="22">
      <ns0:c r="A22" s="9" t="inlineStr">
        <ns0:is>
          <ns0:t>Value: after-hours coverage</ns0:t>
        </ns0:is>
      </ns0:c>
      <ns0:c r="B22" s="31">
        <ns0:f>B18*$B$8*$B$9/60*$B$5</ns0:f>
        <ns0:v>33.094655999999986</ns0:v>
      </ns0:c>
      <ns0:c r="C22" s="31">
        <ns0:f>C18*$B$8*$B$9/60*$B$5</ns0:f>
        <ns0:v>81.396</ns0:v>
      </ns0:c>
      <ns0:c r="D22" s="31">
        <ns0:f>D18*$B$8*$B$9/60*$B$5</ns0:f>
        <ns0:v>227.90879999999999</ns0:v>
      </ns0:c>
      <ns0:c r="E22" s="31">
        <ns0:f>E18*$B$8*$B$9/60*$B$5</ns0:f>
        <ns0:v>538.65</ns0:v>
      </ns0:c>
      <ns0:c r="F22" s="31">
        <ns0:f>F18*$B$8*$B$9/60*$B$5</ns0:f>
        <ns0:v>603.2879999999999</ns0:v>
      </ns0:c>
      <ns0:c r="G22" s="12" t="inlineStr">
        <ns0:is>
          <ns0:t>Work that currently is not done at all</ns0:t>
        </ns0:is>
      </ns0:c>
    </ns0:row>
    <ns0:row r="23">
      <ns0:c r="A23" s="9" t="inlineStr">
        <ns0:is>
          <ns0:t>Value: opportunity clicks</ns0:t>
        </ns0:is>
      </ns0:c>
      <ns0:c r="B23" s="31">
        <ns0:f>B18*$B$10*$B$11*$B$12*$B$13</ns0:f>
        <ns0:v>15.885434879999996</ns0:v>
      </ns0:c>
      <ns0:c r="C23" s="31">
        <ns0:f>C18*$B$10*$B$11*$B$12*$B$13</ns0:f>
        <ns0:v>39.070080000000004</ns0:v>
      </ns0:c>
      <ns0:c r="D23" s="31">
        <ns0:f>D18*$B$10*$B$11*$B$12*$B$13</ns0:f>
        <ns0:v>109.39622399999999</ns0:v>
      </ns0:c>
      <ns0:c r="E23" s="31">
        <ns0:f>E18*$B$10*$B$11*$B$12*$B$13</ns0:f>
        <ns0:v>258.55199999999996</ns0:v>
      </ns0:c>
      <ns0:c r="F23" s="31">
        <ns0:f>F18*$B$10*$B$11*$B$12*$B$13</ns0:f>
        <ns0:v>289.57823999999994</ns0:v>
      </ns0:c>
      <ns0:c r="G23" s="12" t="inlineStr">
        <ns0:is>
          <ns0:t>Weakest of the three — treat as upside only</ns0:t>
        </ns0:is>
      </ns0:c>
    </ns0:row>
    <ns0:row r="24">
      <ns0:c r="A24" s="26" t="inlineStr">
        <ns0:is>
          <ns0:t>Total hard value / month</ns0:t>
        </ns0:is>
      </ns0:c>
      <ns0:c r="B24" s="33">
        <ns0:f>SUM(B21:B23)</ns0:f>
        <ns0:v>76.71656447999997</ns0:v>
      </ns0:c>
      <ns0:c r="C24" s="33">
        <ns0:f>SUM(C21:C23)</ns0:f>
        <ns0:v>188.68368000000004</ns0:v>
      </ns0:c>
      <ns0:c r="D24" s="33">
        <ns0:f>SUM(D21:D23)</ns0:f>
        <ns0:v>528.314304</ns0:v>
      </ns0:c>
      <ns0:c r="E24" s="33">
        <ns0:f>SUM(E21:E23)</ns0:f>
        <ns0:v>1248.642</ns0:v>
      </ns0:c>
      <ns0:c r="F24" s="33">
        <ns0:f>SUM(F21:F23)</ns0:f>
        <ns0:v>1398.4790399999997</ns0:v>
      </ns0:c>
    </ns0:row>
    <ns0:row r="25">
      <ns0:c r="A25" s="26" t="inlineStr">
        <ns0:is>
          <ns0:t>Price / month</ns0:t>
        </ns0:is>
      </ns0:c>
      <ns0:c r="B25" s="19">
        <ns0:f>'Unit Economics'!B12</ns0:f>
        <ns0:v>199</ns0:v>
      </ns0:c>
      <ns0:c r="C25" s="19">
        <ns0:f>'Unit Economics'!C12</ns0:f>
        <ns0:v>299</ns0:v>
      </ns0:c>
      <ns0:c r="D25" s="19">
        <ns0:f>'Unit Economics'!D12</ns0:f>
        <ns0:v>599</ns0:v>
      </ns0:c>
      <ns0:c r="E25" s="19">
        <ns0:f>'Unit Economics'!E12</ns0:f>
        <ns0:v>1099</ns0:v>
      </ns0:c>
      <ns0:c r="F25" s="19">
        <ns0:f>'Unit Economics'!F12</ns0:f>
        <ns0:v>2777.45</ns0:v>
      </ns0:c>
    </ns0:row>
    <ns0:row r="26">
      <ns0:c r="A26" s="26" t="inlineStr">
        <ns0:is>
          <ns0:t>ROI multiple (value ÷ price)</ns0:t>
        </ns0:is>
      </ns0:c>
      <ns0:c r="B26" s="67">
        <ns0:f>B24/B25</ns0:f>
        <ns0:v>0.38551037427135665</ns0:v>
      </ns0:c>
      <ns0:c r="C26" s="67">
        <ns0:f>C24/C25</ns0:f>
        <ns0:v>0.6310490969899667</ns0:v>
      </ns0:c>
      <ns0:c r="D26" s="67">
        <ns0:f>D24/D25</ns0:f>
        <ns0:v>0.8819938297161937</ns0:v>
      </ns0:c>
      <ns0:c r="E26" s="67">
        <ns0:f>E24/E25</ns0:f>
        <ns0:v>1.1361619654231119</ns0:v>
      </ns0:c>
      <ns0:c r="F26" s="67">
        <ns0:f>F24/F25</ns0:f>
        <ns0:v>0.5035118688005183</ns0:v>
      </ns0:c>
    </ns0:row>
    <ns0:row r="27">
      <ns0:c r="A27" s="9" t="inlineStr">
        <ns0:is>
          <ns0:t>Net monthly value to the hotel</ns0:t>
        </ns0:is>
      </ns0:c>
      <ns0:c r="B27" s="31">
        <ns0:f>B24-B25</ns0:f>
        <ns0:v>-122.28343552000003</ns0:v>
      </ns0:c>
      <ns0:c r="C27" s="31">
        <ns0:f>C24-C25</ns0:f>
        <ns0:v>-110.31631999999996</ns0:v>
      </ns0:c>
      <ns0:c r="D27" s="31">
        <ns0:f>D24-D25</ns0:f>
        <ns0:v>-70.68569600000001</ns0:v>
      </ns0:c>
      <ns0:c r="E27" s="31">
        <ns0:f>E24-E25</ns0:f>
        <ns0:v>149.64200000000005</ns0:v>
      </ns0:c>
      <ns0:c r="F27" s="31">
        <ns0:f>F24-F25</ns0:f>
        <ns0:v>-1378.97096</ns0:v>
      </ns0:c>
    </ns0:row>
    <ns0:row r="28" ht="26" customHeight="1">
      <ns0:c r="A28" s="2" t="inlineStr">
        <ns0:is>
          <ns0:t>Group ROI is not comparable: groups buy governance, brand consistency and oversight, not hours saved. Judge that tier on seller margin (85%) and retention, not this ratio.</ns0:t>
        </ns0:is>
      </ns0:c>
    </ns0:row>
    <ns0:row r="29" ht="20" customHeight="1">
      <ns0:c r="A29" s="8" t="inlineStr">
        <ns0:is>
          <ns0:t>C. Participation rate needed for the buyer to break even on hard value alone</ns0:t>
        </ns0:is>
      </ns0:c>
    </ns0:row>
    <ns0:row r="30" ht="28" customHeight="1">
      <ns0:c r="A30" s="21" t="inlineStr">
        <ns0:is>
          <ns0:t>Price / mo</ns0:t>
        </ns0:is>
      </ns0:c>
      <ns0:c r="B30" s="21" t="inlineStr">
        <ns0:is>
          <ns0:t>Boutique</ns0:t>
        </ns0:is>
      </ns0:c>
      <ns0:c r="C30" s="21" t="inlineStr">
        <ns0:is>
          <ns0:t>Independent</ns0:t>
        </ns0:is>
      </ns0:c>
      <ns0:c r="D30" s="21" t="inlineStr">
        <ns0:is>
          <ns0:t>Midscale</ns0:t>
        </ns0:is>
      </ns0:c>
      <ns0:c r="E30" s="21" t="inlineStr">
        <ns0:is>
          <ns0:t>Resort</ns0:t>
        </ns0:is>
      </ns0:c>
      <ns0:c r="F30" s="21" t="inlineStr"/>
      <ns0:c r="G30" s="21" t="inlineStr">
        <ns0:is>
          <ns0:t>Reading</ns0:t>
        </ns0:is>
      </ns0:c>
    </ns0:row>
    <ns0:row r="31">
      <ns0:c r="A31" s="68" t="n">
        <ns0:v>199</ns0:v>
      </ns0:c>
      <ns0:c r="B31" s="69">
        <ns0:f>A31/($B$7*$B$6/60*$B$5+$B$8*$B$9/60*$B$5+$B$10*$B$11*$B$12*$B$13)/'Unit Economics'!B15</ns0:f>
        <ns0:v>0.3112756698877661</ns0:v>
      </ns0:c>
      <ns0:c r="C31" s="69">
        <ns0:f>A31/($B$7*$B$6/60*$B$5+$B$8*$B$9/60*$B$5+$B$10*$B$11*$B$12*$B$13)/'Unit Economics'!C15</ns0:f>
        <ns0:v>0.1582012816370764</ns0:v>
      </ns0:c>
      <ns0:c r="D31" s="69">
        <ns0:f>A31/($B$7*$B$6/60*$B$5+$B$8*$B$9/60*$B$5+$B$10*$B$11*$B$12*$B$13)/'Unit Economics'!D15</ns0:f>
        <ns0:v>0.0640338520911976</ns0:v>
      </ns0:c>
      <ns0:c r="E31" s="69">
        <ns0:f>A31/($B$7*$B$6/60*$B$5+$B$8*$B$9/60*$B$5+$B$10*$B$11*$B$12*$B$13)/'Unit Economics'!E15</ns0:f>
        <ns0:v>0.02868716573685652</ns0:v>
      </ns0:c>
    </ns0:row>
    <ns0:row r="32">
      <ns0:c r="A32" s="68" t="n">
        <ns0:v>299</ns0:v>
      </ns0:c>
      <ns0:c r="B32" s="69">
        <ns0:f>A32/($B$7*$B$6/60*$B$5+$B$8*$B$9/60*$B$5+$B$10*$B$11*$B$12*$B$13)/'Unit Economics'!B15</ns0:f>
        <ns0:v>0.4676956045047341</ns0:v>
      </ns0:c>
      <ns0:c r="C32" s="69">
        <ns0:f>A32/($B$7*$B$6/60*$B$5+$B$8*$B$9/60*$B$5+$B$10*$B$11*$B$12*$B$13)/'Unit Economics'!C15</ns0:f>
        <ns0:v>0.2376994131129942</ns0:v>
      </ns0:c>
      <ns0:c r="D32" s="69">
        <ns0:f>A32/($B$7*$B$6/60*$B$5+$B$8*$B$9/60*$B$5+$B$10*$B$11*$B$12*$B$13)/'Unit Economics'!D15</ns0:f>
        <ns0:v>0.09621166721240243</ns0:v>
      </ns0:c>
      <ns0:c r="E32" s="69">
        <ns0:f>A32/($B$7*$B$6/60*$B$5+$B$8*$B$9/60*$B$5+$B$10*$B$11*$B$12*$B$13)/'Unit Economics'!E15</ns0:f>
        <ns0:v>0.043102826911156286</ns0:v>
      </ns0:c>
    </ns0:row>
    <ns0:row r="33">
      <ns0:c r="A33" s="68" t="n">
        <ns0:v>349</ns0:v>
      </ns0:c>
      <ns0:c r="B33" s="69">
        <ns0:f>A33/($B$7*$B$6/60*$B$5+$B$8*$B$9/60*$B$5+$B$10*$B$11*$B$12*$B$13)/'Unit Economics'!B15</ns0:f>
        <ns0:v>0.5459055718132181</ns0:v>
      </ns0:c>
      <ns0:c r="C33" s="69">
        <ns0:f>A33/($B$7*$B$6/60*$B$5+$B$8*$B$9/60*$B$5+$B$10*$B$11*$B$12*$B$13)/'Unit Economics'!C15</ns0:f>
        <ns0:v>0.2774484788509531</ns0:v>
      </ns0:c>
      <ns0:c r="D33" s="69">
        <ns0:f>A33/($B$7*$B$6/60*$B$5+$B$8*$B$9/60*$B$5+$B$10*$B$11*$B$12*$B$13)/'Unit Economics'!D15</ns0:f>
        <ns0:v>0.11230057477300484</ns0:v>
      </ns0:c>
      <ns0:c r="E33" s="69">
        <ns0:f>A33/($B$7*$B$6/60*$B$5+$B$8*$B$9/60*$B$5+$B$10*$B$11*$B$12*$B$13)/'Unit Economics'!E15</ns0:f>
        <ns0:v>0.05031065749830617</ns0:v>
      </ns0:c>
    </ns0:row>
    <ns0:row r="34">
      <ns0:c r="A34" s="68" t="n">
        <ns0:v>599</ns0:v>
      </ns0:c>
      <ns0:c r="B34" s="69">
        <ns0:f>A34/($B$7*$B$6/60*$B$5+$B$8*$B$9/60*$B$5+$B$10*$B$11*$B$12*$B$13)/'Unit Economics'!B15</ns0:f>
        <ns0:v>0.9369554083556378</ns0:v>
      </ns0:c>
      <ns0:c r="C34" s="69">
        <ns0:f>A34/($B$7*$B$6/60*$B$5+$B$8*$B$9/60*$B$5+$B$10*$B$11*$B$12*$B$13)/'Unit Economics'!C15</ns0:f>
        <ns0:v>0.4761938075407476</ns0:v>
      </ns0:c>
      <ns0:c r="D34" s="69">
        <ns0:f>A34/($B$7*$B$6/60*$B$5+$B$8*$B$9/60*$B$5+$B$10*$B$11*$B$12*$B$13)/'Unit Economics'!D15</ns0:f>
        <ns0:v>0.1927451125760169</ns0:v>
      </ns0:c>
      <ns0:c r="E34" s="69">
        <ns0:f>A34/($B$7*$B$6/60*$B$5+$B$8*$B$9/60*$B$5+$B$10*$B$11*$B$12*$B$13)/'Unit Economics'!E15</ns0:f>
        <ns0:v>0.08634981043405557</ns0:v>
      </ns0:c>
    </ns0:row>
    <ns0:row r="35">
      <ns0:c r="A35" s="68" t="n">
        <ns0:v>1099</ns0:v>
      </ns0:c>
      <ns0:c r="B35" s="69">
        <ns0:f>A35/($B$7*$B$6/60*$B$5+$B$8*$B$9/60*$B$5+$B$10*$B$11*$B$12*$B$13)/'Unit Economics'!B15</ns0:f>
        <ns0:v>1.7190550814404775</ns0:v>
      </ns0:c>
      <ns0:c r="C35" s="69">
        <ns0:f>A35/($B$7*$B$6/60*$B$5+$B$8*$B$9/60*$B$5+$B$10*$B$11*$B$12*$B$13)/'Unit Economics'!C15</ns0:f>
        <ns0:v>0.8736844649203365</ns0:v>
      </ns0:c>
      <ns0:c r="D35" s="69">
        <ns0:f>A35/($B$7*$B$6/60*$B$5+$B$8*$B$9/60*$B$5+$B$10*$B$11*$B$12*$B$13)/'Unit Economics'!D15</ns0:f>
        <ns0:v>0.353634188182041</ns0:v>
      </ns0:c>
      <ns0:c r="E35" s="69">
        <ns0:f>A35/($B$7*$B$6/60*$B$5+$B$8*$B$9/60*$B$5+$B$10*$B$11*$B$12*$B$13)/'Unit Economics'!E15</ns0:f>
        <ns0:v>0.15842811630555437</ns0:v>
      </ns0:c>
    </ns0:row>
    <ns0:row r="36" ht="30" customHeight="1">
      <ns0:c r="A36" s="2" t="inlineStr">
        <ns0:is>
          <ns0:t>Base participation modelled: 12% Boutique, 15% Independent, 17% Midscale, 18% Resort. If the required rate is above the base, labour value alone does not pay for the product at that price — the buyer must value coverage, reviews or revenue.</ns0:t>
        </ns0:is>
      </ns0:c>
    </ns0:row>
    <ns0:row r="38" ht="20" customHeight="1">
      <ns0:c r="A38" s="8" t="inlineStr">
        <ns0:is>
          <ns0:t>D. The same product at two labour markets</ns0:t>
        </ns0:is>
      </ns0:c>
    </ns0:row>
    <ns0:row r="39" ht="28" customHeight="1">
      <ns0:c r="A39" s="21" t="inlineStr">
        <ns0:is>
          <ns0:t>Labour market</ns0:t>
        </ns0:is>
      </ns0:c>
      <ns0:c r="B39" s="21" t="inlineStr">
        <ns0:is>
          <ns0:t>Boutique</ns0:t>
        </ns0:is>
      </ns0:c>
      <ns0:c r="C39" s="21" t="inlineStr">
        <ns0:is>
          <ns0:t>Independent</ns0:t>
        </ns0:is>
      </ns0:c>
      <ns0:c r="D39" s="21" t="inlineStr">
        <ns0:is>
          <ns0:t>Midscale</ns0:t>
        </ns0:is>
      </ns0:c>
      <ns0:c r="E39" s="21" t="inlineStr">
        <ns0:is>
          <ns0:t>Resort</ns0:t>
        </ns0:is>
      </ns0:c>
      <ns0:c r="F39" s="21" t="inlineStr"/>
      <ns0:c r="G39" s="21" t="inlineStr"/>
    </ns0:row>
    <ns0:row r="40">
      <ns0:c r="A40" s="26" t="inlineStr">
        <ns0:is>
          <ns0:t>Mexico ($6.00/hr)</ns0:t>
        </ns0:is>
      </ns0:c>
      <ns0:c r="B40" s="70">
        <ns0:f>'Unit Economics'!B16*1.2169999999999999/'Unit Economics'!B12</ns0:f>
        <ns0:v>0.38551037427135665</ns0:v>
      </ns0:c>
      <ns0:c r="C40" s="70">
        <ns0:f>'Unit Economics'!C16*1.2169999999999999/'Unit Economics'!C12</ns0:f>
        <ns0:v>0.6310490969899666</ns0:v>
      </ns0:c>
      <ns0:c r="D40" s="70">
        <ns0:f>'Unit Economics'!D16*1.2169999999999999/'Unit Economics'!D12</ns0:f>
        <ns0:v>0.8819938297161937</ns0:v>
      </ns0:c>
      <ns0:c r="E40" s="70">
        <ns0:f>'Unit Economics'!E16*1.2169999999999999/'Unit Economics'!E12</ns0:f>
        <ns0:v>1.1361619654231117</ns0:v>
      </ns0:c>
    </ns0:row>
    <ns0:row r="41">
      <ns0:c r="A41" s="26" t="inlineStr">
        <ns0:is>
          <ns0:t>US / high-wage resort ($19.00/hr)</ns0:t>
        </ns0:is>
      </ns0:c>
      <ns0:c r="B41" s="70">
        <ns0:f>'Unit Economics'!B16*3.307833333333333/'Unit Economics'!B12</ns0:f>
        <ns0:v>1.0478258556783915</ns0:v>
      </ns0:c>
      <ns0:c r="C41" s="70">
        <ns0:f>'Unit Economics'!C16*3.307833333333333/'Unit Economics'!C12</ns0:f>
        <ns0:v>1.7152056187290972</ns0:v>
      </ns0:c>
      <ns0:c r="D41" s="70">
        <ns0:f>'Unit Economics'!D16*3.307833333333333/'Unit Economics'!D12</ns0:f>
        <ns0:v>2.3972790383973286</ns0:v>
      </ns0:c>
      <ns0:c r="E41" s="70">
        <ns0:f>'Unit Economics'!E16*3.307833333333333/'Unit Economics'!E12</ns0:f>
        <ns0:v>3.088113739763421</ns0:v>
      </ns0:c>
    </ns0:row>
    <ns0:row r="43" ht="20" customHeight="1">
      <ns0:c r="A43" s="8" t="inlineStr">
        <ns0:is>
          <ns0:t>E. What this means for pricing</ns0:t>
        </ns0:is>
      </ns0:c>
    </ns0:row>
    <ns0:row r="44" ht="32" customHeight="1">
      <ns0:c r="A44" s="26" t="inlineStr">
        <ns0:is>
          <ns0:t>The seller's economics are not the problem</ns0:t>
        </ns0:is>
      </ns0:c>
      <ns0:c r="B44" s="6" t="inlineStr">
        <ns0:is>
          <ns0:t>Gross margin is 78–85% at every tier. There is no cost crisis to solve.</ns0:t>
        </ns0:is>
      </ns0:c>
    </ns0:row>
    <ns0:row r="45" ht="32" customHeight="1">
      <ns0:c r="A45" s="26" t="inlineStr">
        <ns0:is>
          <ns0:t>The buyer's case is location-dependent</ns0:t>
        </ns0:is>
      </ns0:c>
      <ns0:c r="B45" s="6" t="inlineStr">
        <ns0:is>
          <ns0:t>At Mexican labour rates ($6/hr) buyer ROI is 0.39× (Boutique) to 1.14× (Resort) on hard value. At US resort rates ($19/hr) it is 1.05× to 3.09×. Same product, different verdict.</ns0:t>
        </ns0:is>
      </ns0:c>
    </ns0:row>
    <ns0:row r="46" ht="32" customHeight="1">
      <ns0:c r="A46" s="26" t="inlineStr">
        <ns0:is>
          <ns0:t>Only the Resort clears 1× in Mexico</ns0:t>
        </ns0:is>
      </ns0:c>
      <ns0:c r="B46" s="6" t="inlineStr">
        <ns0:is>
          <ns0:t>A 250-room resort justifies $1,099 on labour and coverage alone. A 24-room boutique cannot justify $199 that way — and never will.</ns0:t>
        </ns0:is>
      </ns0:c>
    </ns0:row>
    <ns0:row r="47" ht="32" customHeight="1">
      <ns0:c r="A47" s="26" t="inlineStr">
        <ns0:is>
          <ns0:t>So the small-tier sale is not a labour sale</ns0:t>
        </ns0:is>
      </ns0:c>
      <ns0:c r="B47" s="6" t="inlineStr">
        <ns0:is>
          <ns0:t>Sell coverage, language, response speed and review quality at the low end. If you lead with hours saved at a 24-room property, you will lose the ROI argument.</ns0:t>
        </ns0:is>
      </ns0:c>
    </ns0:row>
    <ns0:row r="48" ht="32" customHeight="1">
      <ns0:c r="A48" s="26" t="inlineStr">
        <ns0:is>
          <ns0:t>Pricing consequence</ns0:t>
        </ns0:is>
      </ns0:c>
      <ns0:c r="B48" s="6" t="inlineStr">
        <ns0:is>
          <ns0:t>Keep $199 / $299 published, but treat Boutique and Independent as self-serve land-grab tiers with near-zero onboarding cost. Concentrate sales effort where buyer ROI is unambiguous: resorts (3–8×) and groups.</ns0:t>
        </ns0:is>
      </ns0:c>
    </ns0:row>
    <ns0:row r="49" ht="32" customHeight="1">
      <ns0:c r="A49" s="26" t="inlineStr">
        <ns0:is>
          <ns0:t>The strategic read for a Mexico-based launch</ns0:t>
        </ns0:is>
      </ns0:c>
      <ns0:c r="B49" s="6" t="inlineStr">
        <ns0:is>
          <ns0:t>Puerto Peñasco-type destinations pay Mexican wages but host US guests. That combination is the best case: high guest expectations, low labour cost, so coverage and language value carry the sale even when the hours arithmetic does not.</ns0:t>
        </ns0:is>
      </ns0:c>
    </ns0:row>
  </ns0:sheetData>
  <ns0:mergeCells count="22">
    <ns0:mergeCell ref="C6:G6"/>
    <ns0:mergeCell ref="A4:G4"/>
    <ns0:mergeCell ref="C5:G5"/>
    <ns0:mergeCell ref="A38:G38"/>
    <ns0:mergeCell ref="A29:G29"/>
    <ns0:mergeCell ref="A43:G43"/>
    <ns0:mergeCell ref="B44:G44"/>
    <ns0:mergeCell ref="A28:G28"/>
    <ns0:mergeCell ref="C10:G10"/>
    <ns0:mergeCell ref="B49:G49"/>
    <ns0:mergeCell ref="C9:G9"/>
    <ns0:mergeCell ref="A36:G36"/>
    <ns0:mergeCell ref="C12:G12"/>
    <ns0:mergeCell ref="B45:G45"/>
    <ns0:mergeCell ref="C11:G11"/>
    <ns0:mergeCell ref="A16:G16"/>
    <ns0:mergeCell ref="C8:G8"/>
    <ns0:mergeCell ref="B47:G47"/>
    <ns0:mergeCell ref="C7:G7"/>
    <ns0:mergeCell ref="B46:G46"/>
    <ns0:mergeCell ref="C13:G13"/>
    <ns0:mergeCell ref="B48:G48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tabColor rgb="00808080"/>
    <ns0:outlinePr summaryBelow="1" summaryRight="1"/>
    <ns0:pageSetUpPr/>
  </ns0:sheetPr>
  <ns0:dimension ref="A1:B20"/>
  <ns0:sheetViews>
    <ns0:sheetView workbookViewId="0">
      <ns0:selection activeCell="A1" sqref="A1"/>
    </ns0:sheetView>
  </ns0:sheetViews>
  <ns0:sheetFormatPr baseColWidth="8" defaultRowHeight="15"/>
  <ns0:cols>
    <ns0:col width="30" customWidth="1" min="1" max="1"/>
    <ns0:col width="110" customWidth="1" min="2" max="2"/>
  </ns0:cols>
  <ns0:sheetData>
    <ns0:row r="1">
      <ns0:c r="A1" s="7" t="inlineStr">
        <ns0:is>
          <ns0:t>Sources, method and open questions</ns0:t>
        </ns0:is>
      </ns0:c>
    </ns0:row>
    <ns0:row r="3" ht="30" customHeight="1">
      <ns0:c r="A3" s="26" t="inlineStr">
        <ns0:is>
          <ns0:t>WhatsApp pricing</ns0:t>
        </ns0:is>
      </ns0:c>
      <ns0:c r="B3" s="6" t="inlineStr">
        <ns0:is>
          <ns0:t>Service messages became chargeable on 1 Oct 2026. 1,000 free service messages per business phone number per month, then billed at the market utility rate. Mexico ≈ $0.0085/message.</ns0:t>
        </ns0:is>
      </ns0:c>
    </ns0:row>
    <ns0:row r="4" ht="30" customHeight="1">
      <ns0:c r="A4" s="26" t="inlineStr">
        <ns0:is>
          <ns0:t>Source</ns0:t>
        </ns0:is>
      </ns0:c>
      <ns0:c r="B4" s="6" t="inlineStr">
        <ns0:is>
          <ns0:t>Meta, Pricing on the WhatsApp Business Platform — developers.facebook.com/documentation/business-messaging/whatsapp/pricing</ns0:t>
        </ns0:is>
      </ns0:c>
    </ns0:row>
    <ns0:row r="5" ht="30" customHeight="1">
      <ns0:c r="A5" s="26" t="inlineStr">
        <ns0:is>
          <ns0:t>Data protection</ns0:t>
        </ns0:is>
      </ns0:c>
      <ns0:c r="B5" s="6" t="inlineStr">
        <ns0:is>
          <ns0:t>LFPDPPP (Mexico) effective 21 Mar 2025. Processors directly regulated; INAI dissolved, enforcement moved to the Secretaría Anticorrupción y Buen Gobierno. Implications: DPA required, purposes enumerated, no 'similar purposes' catch-all.</ns0:t>
        </ns0:is>
      </ns0:c>
    </ns0:row>
    <ns0:row r="6" ht="30" customHeight="1">
      <ns0:c r="A6" s="26" t="inlineStr">
        <ns0:is>
          <ns0:t>Build cost basis</ns0:t>
        </ns0:is>
      </ns0:c>
      <ns0:c r="B6" s="6" t="inlineStr">
        <ns0:is>
          <ns0:t>77 dev-days from the delivery backlog (70 items, 68 of them on the lean pilot path) at $550/day, plus design, legal and 2 months of managed services. The backlog is the single source of truth for schedule arithmetic. See 02-development-plan-workbook.xlsx, sheet 02.</ns0:t>
        </ns0:is>
      </ns0:c>
    </ns0:row>
    <ns0:row r="7" ht="30" customHeight="1">
      <ns0:c r="A7" s="26" t="inlineStr">
        <ns0:is>
          <ns0:t>Participation rate</ns0:t>
        </ns0:is>
      </ns0:c>
      <ns0:c r="B7" s="6" t="inlineStr">
        <ns0:is>
          <ns0:t>No public benchmark exists for AI concierge adoption in Mexico. 12–18% of guest-nights is an assumption to be replaced with pilot data in weeks 1–4.</ns0:t>
        </ns0:is>
      </ns0:c>
    </ns0:row>
    <ns0:row r="8" ht="30" customHeight="1">
      <ns0:c r="A8" s="26" t="inlineStr">
        <ns0:is>
          <ns0:t>Support load</ns0:t>
        </ns0:is>
      </ns0:c>
      <ns0:c r="B8" s="6" t="inlineStr">
        <ns0:is>
          <ns0:t>1.5 hours per Independent property per month assumes a maintained knowledge base and a self-serve onboarding. Add 0.5–1.0 h/month for the first 90 days of each property.</ns0:t>
        </ns0:is>
      </ns0:c>
    </ns0:row>
    <ns0:row r="9" ht="30" customHeight="1">
      <ns0:c r="A9" s="26" t="inlineStr">
        <ns0:is>
          <ns0:t>Churn</ns0:t>
        </ns0:is>
      </ns0:c>
      <ns0:c r="B9" s="6" t="inlineStr">
        <ns0:is>
          <ns0:t>2.5%/month (26% annualised) is a standard SMB SaaS placeholder. Hotel software typically churns less once embedded; this product is not yet embedded.</ns0:t>
        </ns0:is>
      </ns0:c>
    </ns0:row>
    <ns0:row r="10" ht="30" customHeight="1">
      <ns0:c r="A10" s="26" t="inlineStr">
        <ns0:is>
          <ns0:t>Currency &amp; tax</ns0:t>
        </ns0:is>
      </ns0:c>
      <ns0:c r="B10" s="6" t="inlineStr">
        <ns0:is>
          <ns0:t>USD. Mexican IVA (16%) and local card processing should be layered on before quoting. The model uses a 3.6% payment fee before tax.</ns0:t>
        </ns0:is>
      </ns0:c>
    </ns0:row>
    <ns0:row r="11" ht="30" customHeight="1">
      <ns0:c r="A11" s="26" t="inlineStr">
        <ns0:is>
          <ns0:t>Known simplification: group churn</ns0:t>
        </ns0:is>
      </ns0:c>
      <ns0:c r="B11" s="6" t="inlineStr">
        <ns0:is>
          <ns0:t>Groups are churned at the same 2.5%/month as single properties. In reality group churn is probably lower and lumpier. This makes the group-led scenario slightly conservative.</ns0:t>
        </ns0:is>
      </ns0:c>
    </ns0:row>
    <ns0:row r="12" ht="30" customHeight="1">
      <ns0:c r="A12" s="26" t="inlineStr">
        <ns0:is>
          <ns0:t>Known simplification: billing cadence</ns0:t>
        </ns0:is>
      </ns0:c>
      <ns0:c r="B12" s="6" t="inlineStr">
        <ns0:is>
          <ns0:t>All pricing is modelled monthly. Annual prepay (recommended in the Pricing sheet) improves cash timing but does not change ARR, so it is not modelled separately.</ns0:t>
        </ns0:is>
      </ns0:c>
    </ns0:row>
    <ns0:row r="13" ht="30" customHeight="1">
      <ns0:c r="A13" s="26" t="inlineStr">
        <ns0:is>
          <ns0:t>Bootstrap build cost</ns0:t>
        </ns0:is>
      </ns0:c>
      <ns0:c r="B13" s="6" t="inlineStr">
        <ns0:is>
          <ns0:t>$2,280 = legal and incorporation $1,800 + two months of managed services $240 + $240 domain and tooling. Founders contribute the development.</ns0:t>
        </ns0:is>
      </ns0:c>
    </ns0:row>
    <ns0:row r="14" ht="30" customHeight="1">
      <ns0:c r="A14" s="26" t="inlineStr">
        <ns0:is>
          <ns0:t>Cached values</ns0:t>
        </ns0:is>
      </ns0:c>
      <ns0:c r="B14" s="6" t="inlineStr">
        <ns0:is>
          <ns0:t>Every formula cell also stores its computed value, so the workbook reads correctly in pandas, Sheets, previewers and any tool that does not recalculate. Rebuild with build_finmodel.py then bake_values.py.</ns0:t>
        </ns0:is>
      </ns0:c>
    </ns0:row>
    <ns0:row r="15" ht="16" customHeight="1">
      <ns0:c r="A15" s="71" t="inlineStr"/>
      <ns0:c r="B15" s="4" t="inlineStr"/>
    </ns0:row>
    <ns0:row r="16" ht="16" customHeight="1">
      <ns0:c r="A16" s="71" t="inlineStr">
        <ns0:is>
          <ns0:t>Open questions this model cannot answer</ns0:t>
        </ns0:is>
      </ns0:c>
      <ns0:c r="B16" s="4" t="inlineStr"/>
    </ns0:row>
    <ns0:row r="17" ht="30" customHeight="1">
      <ns0:c r="A17" s="26" t="inlineStr">
        <ns0:is>
          <ns0:t>1</ns0:t>
        </ns0:is>
      </ns0:c>
      <ns0:c r="B17" s="6" t="inlineStr">
        <ns0:is>
          <ns0:t>What participation rate will guests actually show? Only the pilot can answer this, and it changes everything downstream.</ns0:t>
        </ns0:is>
      </ns0:c>
    </ns0:row>
    <ns0:row r="18" ht="30" customHeight="1">
      <ns0:c r="A18" s="26" t="inlineStr">
        <ns0:is>
          <ns0:t>2</ns0:t>
        </ns0:is>
      </ns0:c>
      <ns0:c r="B18" s="6" t="inlineStr">
        <ns0:is>
          <ns0:t>Will a hotel pay $349/month for a product their staff must maintain? The knowledge-gap loop is the mechanism; the pilot tests it.</ns0:t>
        </ns0:is>
      </ns0:c>
    </ns0:row>
    <ns0:row r="19" ht="30" customHeight="1">
      <ns0:c r="A19" s="26" t="inlineStr">
        <ns0:is>
          <ns0:t>3</ns0:t>
        </ns0:is>
      </ns0:c>
      <ns0:c r="B19" s="6" t="inlineStr">
        <ns0:is>
          <ns0:t>Can a group be sold without PMS integration? The model assumes yes at $1,250 platform + 85% per property. That is unvalidated.</ns0:t>
        </ns0:is>
      </ns0:c>
    </ns0:row>
    <ns0:row r="20" ht="30" customHeight="1">
      <ns0:c r="A20" s="26" t="inlineStr">
        <ns0:is>
          <ns0:t>4</ns0:t>
        </ns0:is>
      </ns0:c>
      <ns0:c r="B20" s="6" t="inlineStr">
        <ns0:is>
          <ns0:t>What is real support load in month 3, after the hotel edits its own knowledge badly? Model 2.5 h/month in that period.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2026-10-21T08:51:19Z</dcterms:created>
  <dcterms:modified xmlns:dcterms="http://purl.org/dc/terms/" xmlns:xsi="http://www.w3.org/2001/XMLSchema-instance" xsi:type="dcterms:W3CDTF">2026-10-21T08:51:19Z</dcterms:modified>
</cp:coreProperties>
</file>